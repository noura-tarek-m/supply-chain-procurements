
<file path=[Content_Types].xml><?xml version="1.0" encoding="utf-8"?>
<Types xmlns="http://schemas.openxmlformats.org/package/2006/content-type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norat\OneDrive\Desktop\Main\Data Analysis\Professional Data Analysis Diploma\personal-practice\Recent (2-2026)\Supply Chain\"/>
    </mc:Choice>
  </mc:AlternateContent>
  <xr:revisionPtr revIDLastSave="0" documentId="13_ncr:1_{69347EAC-B4A0-4100-9C37-D8B023B833CB}" xr6:coauthVersionLast="47" xr6:coauthVersionMax="47" xr10:uidLastSave="{00000000-0000-0000-0000-000000000000}"/>
  <bookViews>
    <workbookView xWindow="-108" yWindow="-108" windowWidth="23256" windowHeight="12456" firstSheet="1" activeTab="3" xr2:uid="{00000000-000D-0000-FFFF-FFFF00000000}"/>
  </bookViews>
  <sheets>
    <sheet name="Procurement KPI Analysis Datase" sheetId="2" r:id="rId1"/>
    <sheet name="PivotTables" sheetId="4" r:id="rId2"/>
    <sheet name="Home" sheetId="7" r:id="rId3"/>
    <sheet name="Procurements Analysis" sheetId="5" r:id="rId4"/>
    <sheet name="Suppliers Analysis" sheetId="6" r:id="rId5"/>
  </sheets>
  <definedNames>
    <definedName name="_xlchart.v1.0" hidden="1">PivotTables!$V$73:$V$77</definedName>
    <definedName name="_xlchart.v1.1" hidden="1">PivotTables!$W$72</definedName>
    <definedName name="_xlchart.v1.2" hidden="1">PivotTables!$W$73:$W$77</definedName>
    <definedName name="_xlchart.v1.3" hidden="1">PivotTables!$V$73:$V$77</definedName>
    <definedName name="_xlchart.v1.4" hidden="1">PivotTables!$W$72</definedName>
    <definedName name="_xlchart.v1.5" hidden="1">PivotTables!$W$73:$W$77</definedName>
    <definedName name="_xlcn.WorksheetConnection_project.xlsxProcurement_KPI_Analysis_Dataset1" hidden="1">Procurement_KPI_Analysis_Dataset[]</definedName>
    <definedName name="ExternalData_1" localSheetId="0" hidden="1">'Procurement KPI Analysis Datase'!$A$1:$Q$691</definedName>
    <definedName name="Slicer_Item_Category">#N/A</definedName>
    <definedName name="Slicer_Month">#N/A</definedName>
    <definedName name="Slicer_Order_Status">#N/A</definedName>
    <definedName name="Slicer_Supplier">#N/A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s>
  <extLst>
    <ext xmlns:x14="http://schemas.microsoft.com/office/spreadsheetml/2009/9/main" uri="{876F7934-8845-4945-9796-88D515C7AA90}">
      <x14:pivotCaches>
        <pivotCache cacheId="19" r:id="rId25"/>
        <pivotCache cacheId="20"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curement_KPI_Analysis_Dataset" name="Procurement_KPI_Analysis_Dataset" connection="WorksheetConnection_project.xlsx!Procurement_KPI_Analysis_Dataset"/>
          <x15:modelTable id="Calendar" name="Calendar" connection="Connection"/>
        </x15:modelTables>
        <x15:modelRelationships>
          <x15:modelRelationship fromTable="Procurement_KPI_Analysis_Dataset" fromColumn="Order_Date" toTable="Calendar" toColumn="Date"/>
        </x15:modelRelationships>
        <x15:extLst>
          <ext xmlns:x16="http://schemas.microsoft.com/office/spreadsheetml/2014/11/main" uri="{9835A34E-60A6-4A7C-AAB8-D5F71C897F49}">
            <x16:modelTimeGroupings>
              <x16:modelTimeGrouping tableName="Procurement_KPI_Analysis_Datase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2" i="4" l="1"/>
  <c r="W72" i="4"/>
  <c r="V73" i="4"/>
  <c r="W73" i="4"/>
  <c r="V74" i="4"/>
  <c r="W74" i="4"/>
  <c r="V75" i="4"/>
  <c r="W75" i="4"/>
  <c r="V76" i="4"/>
  <c r="W76" i="4"/>
  <c r="V77" i="4"/>
  <c r="W7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F160CD-9D90-41E4-B262-58E7BA484D65}" name="Connection" type="104" refreshedVersion="0" background="1">
    <extLst>
      <ext xmlns:x15="http://schemas.microsoft.com/office/spreadsheetml/2010/11/main" uri="{DE250136-89BD-433C-8126-D09CA5730AF9}">
        <x15:connection id="Calendar"/>
      </ext>
    </extLst>
  </connection>
  <connection id="2" xr16:uid="{0313BA08-7CC8-460B-B68F-765C593D3EFE}" keepAlive="1" name="Query - Procurement KPI Analysis Dataset" description="Connection to the 'Procurement KPI Analysis Dataset' query in the workbook." type="5" refreshedVersion="8" background="1" saveData="1">
    <dbPr connection="Provider=Microsoft.Mashup.OleDb.1;Data Source=$Workbook$;Location=&quot;Procurement KPI Analysis Dataset&quot;;Extended Properties=&quot;&quot;" command="SELECT * FROM [Procurement KPI Analysis Dataset]"/>
  </connection>
  <connection id="3" xr16:uid="{1B5428C7-3129-4BF7-BB16-928E9B7DD8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428591F-3CD4-46BD-A065-76048A3A7C20}" name="WorksheetConnection_project.xlsx!Procurement_KPI_Analysis_Dataset" type="102" refreshedVersion="8" minRefreshableVersion="5">
    <extLst>
      <ext xmlns:x15="http://schemas.microsoft.com/office/spreadsheetml/2010/11/main" uri="{DE250136-89BD-433C-8126-D09CA5730AF9}">
        <x15:connection id="Procurement_KPI_Analysis_Dataset">
          <x15:rangePr sourceName="_xlcn.WorksheetConnection_project.xlsxProcurement_KPI_Analysis_Dataset1"/>
        </x15:connection>
      </ext>
    </extLst>
  </connection>
</connections>
</file>

<file path=xl/sharedStrings.xml><?xml version="1.0" encoding="utf-8"?>
<sst xmlns="http://schemas.openxmlformats.org/spreadsheetml/2006/main" count="3581" uniqueCount="755">
  <si>
    <t>PO_ID</t>
  </si>
  <si>
    <t>Supplier</t>
  </si>
  <si>
    <t>Order_Date</t>
  </si>
  <si>
    <t>Delivery_Date</t>
  </si>
  <si>
    <t>Item_Category</t>
  </si>
  <si>
    <t>Order_Status</t>
  </si>
  <si>
    <t>Quantity</t>
  </si>
  <si>
    <t>Unit_Price</t>
  </si>
  <si>
    <t>Negotiated_Price</t>
  </si>
  <si>
    <t>Actual Total</t>
  </si>
  <si>
    <t>Negotiated Total</t>
  </si>
  <si>
    <t>Negotiation Difference %</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</si>
  <si>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</si>
  <si>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</si>
  <si>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</si>
  <si>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</si>
  <si>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</si>
  <si>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</si>
  <si>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</si>
  <si>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</si>
  <si>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</si>
  <si>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</si>
  <si>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</si>
  <si>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</si>
  <si>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</si>
  <si>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</si>
  <si>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</si>
  <si>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</si>
  <si>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</si>
  <si>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</si>
  <si>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</si>
  <si>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</si>
  <si>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</si>
  <si>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</si>
  <si>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</si>
  <si>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</si>
  <si>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</si>
  <si>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</si>
  <si>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</si>
  <si>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</si>
  <si>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</si>
  <si>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</si>
  <si>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</si>
  <si>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PO-00015</t>
  </si>
  <si>
    <t>PO-00016</t>
  </si>
  <si>
    <t>PO-00017</t>
  </si>
  <si>
    <t>PO-00018</t>
  </si>
  <si>
    <t>PO-00019</t>
  </si>
  <si>
    <t>PO-00020</t>
  </si>
  <si>
    <t>PO-00021</t>
  </si>
  <si>
    <t>PO-00022</t>
  </si>
  <si>
    <t>PO-00023</t>
  </si>
  <si>
    <t>PO-00024</t>
  </si>
  <si>
    <t>PO-00025</t>
  </si>
  <si>
    <t>PO-00026</t>
  </si>
  <si>
    <t>PO-00027</t>
  </si>
  <si>
    <t>PO-00028</t>
  </si>
  <si>
    <t>PO-00029</t>
  </si>
  <si>
    <t>PO-00031</t>
  </si>
  <si>
    <t>PO-00032</t>
  </si>
  <si>
    <t>PO-00033</t>
  </si>
  <si>
    <t>PO-00034</t>
  </si>
  <si>
    <t>PO-00035</t>
  </si>
  <si>
    <t>PO-00036</t>
  </si>
  <si>
    <t>PO-00037</t>
  </si>
  <si>
    <t>PO-00038</t>
  </si>
  <si>
    <t>PO-00039</t>
  </si>
  <si>
    <t>PO-00041</t>
  </si>
  <si>
    <t>PO-00042</t>
  </si>
  <si>
    <t>PO-00043</t>
  </si>
  <si>
    <t>PO-00044</t>
  </si>
  <si>
    <t>PO-00045</t>
  </si>
  <si>
    <t>PO-00047</t>
  </si>
  <si>
    <t>PO-00048</t>
  </si>
  <si>
    <t>PO-00049</t>
  </si>
  <si>
    <t>PO-00051</t>
  </si>
  <si>
    <t>PO-00053</t>
  </si>
  <si>
    <t>PO-00054</t>
  </si>
  <si>
    <t>PO-00055</t>
  </si>
  <si>
    <t>PO-00056</t>
  </si>
  <si>
    <t>PO-00058</t>
  </si>
  <si>
    <t>PO-00059</t>
  </si>
  <si>
    <t>PO-00060</t>
  </si>
  <si>
    <t>PO-00061</t>
  </si>
  <si>
    <t>PO-00062</t>
  </si>
  <si>
    <t>PO-00063</t>
  </si>
  <si>
    <t>PO-00064</t>
  </si>
  <si>
    <t>PO-00065</t>
  </si>
  <si>
    <t>PO-00066</t>
  </si>
  <si>
    <t>PO-00067</t>
  </si>
  <si>
    <t>PO-00068</t>
  </si>
  <si>
    <t>PO-00070</t>
  </si>
  <si>
    <t>PO-00071</t>
  </si>
  <si>
    <t>PO-00072</t>
  </si>
  <si>
    <t>PO-00073</t>
  </si>
  <si>
    <t>PO-00074</t>
  </si>
  <si>
    <t>PO-00075</t>
  </si>
  <si>
    <t>PO-00077</t>
  </si>
  <si>
    <t>PO-00078</t>
  </si>
  <si>
    <t>PO-00080</t>
  </si>
  <si>
    <t>PO-00081</t>
  </si>
  <si>
    <t>PO-00082</t>
  </si>
  <si>
    <t>PO-00083</t>
  </si>
  <si>
    <t>PO-00084</t>
  </si>
  <si>
    <t>PO-00085</t>
  </si>
  <si>
    <t>PO-00086</t>
  </si>
  <si>
    <t>PO-00087</t>
  </si>
  <si>
    <t>PO-00088</t>
  </si>
  <si>
    <t>PO-00089</t>
  </si>
  <si>
    <t>PO-00091</t>
  </si>
  <si>
    <t>PO-00092</t>
  </si>
  <si>
    <t>PO-00093</t>
  </si>
  <si>
    <t>PO-00094</t>
  </si>
  <si>
    <t>PO-00096</t>
  </si>
  <si>
    <t>PO-00097</t>
  </si>
  <si>
    <t>PO-00098</t>
  </si>
  <si>
    <t>PO-00100</t>
  </si>
  <si>
    <t>PO-00101</t>
  </si>
  <si>
    <t>PO-00103</t>
  </si>
  <si>
    <t>PO-00104</t>
  </si>
  <si>
    <t>PO-00105</t>
  </si>
  <si>
    <t>PO-00106</t>
  </si>
  <si>
    <t>PO-00107</t>
  </si>
  <si>
    <t>PO-00108</t>
  </si>
  <si>
    <t>PO-00109</t>
  </si>
  <si>
    <t>PO-00111</t>
  </si>
  <si>
    <t>PO-00112</t>
  </si>
  <si>
    <t>PO-00113</t>
  </si>
  <si>
    <t>PO-00115</t>
  </si>
  <si>
    <t>PO-00116</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</si>
  <si>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</si>
  <si>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</si>
  <si>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</si>
  <si>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</si>
  <si>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</si>
  <si>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</si>
  <si>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</si>
  <si>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</si>
  <si>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</si>
  <si>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</si>
  <si>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</si>
  <si>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</si>
  <si>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</si>
  <si>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</si>
  <si>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</si>
  <si>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</si>
  <si>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</si>
  <si>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</si>
  <si>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</si>
  <si>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</si>
  <si>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</si>
  <si>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</si>
  <si>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</si>
  <si>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</si>
  <si>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</si>
  <si>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</si>
  <si>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</si>
  <si>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</si>
  <si>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PO-00147</t>
  </si>
  <si>
    <t>PO-00148</t>
  </si>
  <si>
    <t>PO-00150</t>
  </si>
  <si>
    <t>PO-00151</t>
  </si>
  <si>
    <t>PO-00152</t>
  </si>
  <si>
    <t>PO-00153</t>
  </si>
  <si>
    <t>PO-00154</t>
  </si>
  <si>
    <t>PO-00155</t>
  </si>
  <si>
    <t>PO-00156</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</si>
  <si>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</si>
  <si>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</si>
  <si>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</si>
  <si>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</si>
  <si>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</si>
  <si>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</si>
  <si>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</si>
  <si>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</si>
  <si>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</si>
  <si>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</si>
  <si>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</si>
  <si>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</si>
  <si>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</si>
  <si>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</si>
  <si>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</si>
  <si>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</si>
  <si>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</si>
  <si>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</si>
  <si>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</si>
  <si>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</si>
  <si>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</si>
  <si>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</si>
  <si>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</si>
  <si>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</si>
  <si>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</si>
  <si>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</si>
  <si>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</si>
  <si>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PO-00186</t>
  </si>
  <si>
    <t>PO-00188</t>
  </si>
  <si>
    <t>PO-00189</t>
  </si>
  <si>
    <t>PO-00191</t>
  </si>
  <si>
    <t>PO-00192</t>
  </si>
  <si>
    <t>PO-00193</t>
  </si>
  <si>
    <t>PO-00194</t>
  </si>
  <si>
    <t>PO-00195</t>
  </si>
  <si>
    <t>PO-00196</t>
  </si>
  <si>
    <t>PO-00197</t>
  </si>
  <si>
    <t>PO-00198</t>
  </si>
  <si>
    <t>PO-00199</t>
  </si>
  <si>
    <t>PO-00200</t>
  </si>
  <si>
    <t>PO-00201</t>
  </si>
  <si>
    <t>PO-00202</t>
  </si>
  <si>
    <t>PO-00203</t>
  </si>
  <si>
    <t>PO-00205</t>
  </si>
  <si>
    <t>PO-00206</t>
  </si>
  <si>
    <t>PO-00208</t>
  </si>
  <si>
    <t>PO-00209</t>
  </si>
  <si>
    <t>PO-00210</t>
  </si>
  <si>
    <t>PO-00212</t>
  </si>
  <si>
    <t>PO-00213</t>
  </si>
  <si>
    <t>PO-00214</t>
  </si>
  <si>
    <t>PO-00216</t>
  </si>
  <si>
    <t>PO-00217</t>
  </si>
  <si>
    <t>PO-00218</t>
  </si>
  <si>
    <t>PO-00220</t>
  </si>
  <si>
    <t>PO-00221</t>
  </si>
  <si>
    <t>PO-00222</t>
  </si>
  <si>
    <t>PO-00223</t>
  </si>
  <si>
    <t>PO-00224</t>
  </si>
  <si>
    <t>PO-00225</t>
  </si>
  <si>
    <t>PO-00226</t>
  </si>
  <si>
    <t>PO-00227</t>
  </si>
  <si>
    <t>PO-00228</t>
  </si>
  <si>
    <t>PO-00230</t>
  </si>
  <si>
    <t>PO-00231</t>
  </si>
  <si>
    <t>PO-00232</t>
  </si>
  <si>
    <t>PO-00233</t>
  </si>
  <si>
    <t>PO-00234</t>
  </si>
  <si>
    <t>PO-00238</t>
  </si>
  <si>
    <t>PO-00239</t>
  </si>
  <si>
    <t>PO-00241</t>
  </si>
  <si>
    <t>PO-00242</t>
  </si>
  <si>
    <t>PO-00244</t>
  </si>
  <si>
    <t>PO-00245</t>
  </si>
  <si>
    <t>PO-00246</t>
  </si>
  <si>
    <t>PO-00247</t>
  </si>
  <si>
    <t>PO-00248</t>
  </si>
  <si>
    <t>PO-00249</t>
  </si>
  <si>
    <t>PO-00250</t>
  </si>
  <si>
    <t>PO-00251</t>
  </si>
  <si>
    <t>PO-00252</t>
  </si>
  <si>
    <t>PO-00253</t>
  </si>
  <si>
    <t>PO-00254</t>
  </si>
  <si>
    <t>PO-00255</t>
  </si>
  <si>
    <t>PO-00257</t>
  </si>
  <si>
    <t>PO-00258</t>
  </si>
  <si>
    <t>PO-00260</t>
  </si>
  <si>
    <t>PO-00261</t>
  </si>
  <si>
    <t>PO-00262</t>
  </si>
  <si>
    <t>PO-00263</t>
  </si>
  <si>
    <t>PO-00264</t>
  </si>
  <si>
    <t>PO-00265</t>
  </si>
  <si>
    <t>PO-00266</t>
  </si>
  <si>
    <t>PO-00267</t>
  </si>
  <si>
    <t>PO-00268</t>
  </si>
  <si>
    <t>PO-00269</t>
  </si>
  <si>
    <t>PO-00270</t>
  </si>
  <si>
    <t>PO-00272</t>
  </si>
  <si>
    <t>PO-00274</t>
  </si>
  <si>
    <t>PO-00275</t>
  </si>
  <si>
    <t>PO-00276</t>
  </si>
  <si>
    <t>PO-00278</t>
  </si>
  <si>
    <t>PO-00279</t>
  </si>
  <si>
    <t>PO-00281</t>
  </si>
  <si>
    <t>PO-00282</t>
  </si>
  <si>
    <t>PO-00283</t>
  </si>
  <si>
    <t>PO-00284</t>
  </si>
  <si>
    <t>PO-00285</t>
  </si>
  <si>
    <t>PO-00286</t>
  </si>
  <si>
    <t>PO-00287</t>
  </si>
  <si>
    <t>PO-00288</t>
  </si>
  <si>
    <t>PO-00289</t>
  </si>
  <si>
    <t>PO-00291</t>
  </si>
  <si>
    <t>PO-00292</t>
  </si>
  <si>
    <t>PO-00293</t>
  </si>
  <si>
    <t>PO-00294</t>
  </si>
  <si>
    <t>PO-00295</t>
  </si>
  <si>
    <t>PO-00296</t>
  </si>
  <si>
    <t>PO-00297</t>
  </si>
  <si>
    <t>PO-00298</t>
  </si>
  <si>
    <t>PO-00299</t>
  </si>
  <si>
    <t>PO-00300</t>
  </si>
  <si>
    <t>PO-00301</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</si>
  <si>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</si>
  <si>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</si>
  <si>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</si>
  <si>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</si>
  <si>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</si>
  <si>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</si>
  <si>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</si>
  <si>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</si>
  <si>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</si>
  <si>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</si>
  <si>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</si>
  <si>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</si>
  <si>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</si>
  <si>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</si>
  <si>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</si>
  <si>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</si>
  <si>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</si>
  <si>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</si>
  <si>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</si>
  <si>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</si>
  <si>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</si>
  <si>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</si>
  <si>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PO-00326</t>
  </si>
  <si>
    <t>PO-00327</t>
  </si>
  <si>
    <t>PO-00328</t>
  </si>
  <si>
    <t>PO-00329</t>
  </si>
  <si>
    <t>PO-00330</t>
  </si>
  <si>
    <t>PO-00331</t>
  </si>
  <si>
    <t>PO-00332</t>
  </si>
  <si>
    <t>PO-00333</t>
  </si>
  <si>
    <t>PO-00334</t>
  </si>
  <si>
    <t>PO-00336</t>
  </si>
  <si>
    <t>PO-00337</t>
  </si>
  <si>
    <t>PO-00338</t>
  </si>
  <si>
    <t>PO-00339</t>
  </si>
  <si>
    <t>PO-00340</t>
  </si>
  <si>
    <t>PO-00341</t>
  </si>
  <si>
    <t>PO-00342</t>
  </si>
  <si>
    <t>PO-00343</t>
  </si>
  <si>
    <t>PO-00344</t>
  </si>
  <si>
    <t>PO-00345</t>
  </si>
  <si>
    <t>PO-00346</t>
  </si>
  <si>
    <t>PO-00347</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</si>
  <si>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</si>
  <si>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</si>
  <si>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</si>
  <si>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</si>
  <si>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</si>
  <si>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</si>
  <si>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</si>
  <si>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</si>
  <si>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</si>
  <si>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</si>
  <si>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</si>
  <si>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</si>
  <si>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</si>
  <si>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</si>
  <si>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</si>
  <si>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</si>
  <si>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</si>
  <si>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</si>
  <si>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</si>
  <si>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</si>
  <si>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PO-00370</t>
  </si>
  <si>
    <t>PO-00371</t>
  </si>
  <si>
    <t>PO-00372</t>
  </si>
  <si>
    <t>PO-00373</t>
  </si>
  <si>
    <t>PO-00374</t>
  </si>
  <si>
    <t>PO-00375</t>
  </si>
  <si>
    <t>PO-00376</t>
  </si>
  <si>
    <t>PO-00377</t>
  </si>
  <si>
    <t>PO-00378</t>
  </si>
  <si>
    <t>PO-00379</t>
  </si>
  <si>
    <t>PO-00381</t>
  </si>
  <si>
    <t>PO-00382</t>
  </si>
  <si>
    <t>PO-00383</t>
  </si>
  <si>
    <t>PO-00384</t>
  </si>
  <si>
    <t>PO-00385</t>
  </si>
  <si>
    <t>PO-00386</t>
  </si>
  <si>
    <t>PO-00387</t>
  </si>
  <si>
    <t>PO-00388</t>
  </si>
  <si>
    <t>PO-00389</t>
  </si>
  <si>
    <t>PO-00390</t>
  </si>
  <si>
    <t>PO-00391</t>
  </si>
  <si>
    <t>PO-00392</t>
  </si>
  <si>
    <t>PO-00393</t>
  </si>
  <si>
    <t>PO-00394</t>
  </si>
  <si>
    <t>PO-00395</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</si>
  <si>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</si>
  <si>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</si>
  <si>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</si>
  <si>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</si>
  <si>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</si>
  <si>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</si>
  <si>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</si>
  <si>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</si>
  <si>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</si>
  <si>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</si>
  <si>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</si>
  <si>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</si>
  <si>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</si>
  <si>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</si>
  <si>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</si>
  <si>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</si>
  <si>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</si>
  <si>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</si>
  <si>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</si>
  <si>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</si>
  <si>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</si>
  <si>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</si>
  <si>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</si>
  <si>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</si>
  <si>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</si>
  <si>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</si>
  <si>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PO-00424</t>
  </si>
  <si>
    <t>PO-00425</t>
  </si>
  <si>
    <t>PO-00427</t>
  </si>
  <si>
    <t>PO-00428</t>
  </si>
  <si>
    <t>PO-00430</t>
  </si>
  <si>
    <t>PO-00431</t>
  </si>
  <si>
    <t>PO-00432</t>
  </si>
  <si>
    <t>PO-00433</t>
  </si>
  <si>
    <t>PO-00434</t>
  </si>
  <si>
    <t>PO-00435</t>
  </si>
  <si>
    <t>PO-00436</t>
  </si>
  <si>
    <t>PO-00437</t>
  </si>
  <si>
    <t>PO-00439</t>
  </si>
  <si>
    <t>PO-00440</t>
  </si>
  <si>
    <t>PO-00441</t>
  </si>
  <si>
    <t>PO-00442</t>
  </si>
  <si>
    <t>PO-00443</t>
  </si>
  <si>
    <t>PO-00444</t>
  </si>
  <si>
    <t>PO-00445</t>
  </si>
  <si>
    <t>PO-00446</t>
  </si>
  <si>
    <t>PO-00448</t>
  </si>
  <si>
    <t>PO-00449</t>
  </si>
  <si>
    <t>PO-00450</t>
  </si>
  <si>
    <t>PO-00451</t>
  </si>
  <si>
    <t>PO-00452</t>
  </si>
  <si>
    <t>PO-00453</t>
  </si>
  <si>
    <t>PO-00454</t>
  </si>
  <si>
    <t>PO-00455</t>
  </si>
  <si>
    <t>PO-00456</t>
  </si>
  <si>
    <t>PO-00457</t>
  </si>
  <si>
    <t>PO-00458</t>
  </si>
  <si>
    <t>PO-00459</t>
  </si>
  <si>
    <t>PO-00460</t>
  </si>
  <si>
    <t>PO-00461</t>
  </si>
  <si>
    <t>PO-00463</t>
  </si>
  <si>
    <t>PO-00464</t>
  </si>
  <si>
    <t>PO-00465</t>
  </si>
  <si>
    <t>PO-00467</t>
  </si>
  <si>
    <t>PO-00469</t>
  </si>
  <si>
    <t>PO-00470</t>
  </si>
  <si>
    <t>PO-00471</t>
  </si>
  <si>
    <t>PO-00472</t>
  </si>
  <si>
    <t>PO-00473</t>
  </si>
  <si>
    <t>PO-00474</t>
  </si>
  <si>
    <t>PO-00475</t>
  </si>
  <si>
    <t>PO-00477</t>
  </si>
  <si>
    <t>PO-00478</t>
  </si>
  <si>
    <t>PO-00479</t>
  </si>
  <si>
    <t>PO-00480</t>
  </si>
  <si>
    <t>PO-00481</t>
  </si>
  <si>
    <t>PO-00482</t>
  </si>
  <si>
    <t>PO-00483</t>
  </si>
  <si>
    <t>PO-00485</t>
  </si>
  <si>
    <t>PO-00486</t>
  </si>
  <si>
    <t>PO-00487</t>
  </si>
  <si>
    <t>PO-00488</t>
  </si>
  <si>
    <t>PO-00489</t>
  </si>
  <si>
    <t>PO-00490</t>
  </si>
  <si>
    <t>PO-00491</t>
  </si>
  <si>
    <t>PO-00492</t>
  </si>
  <si>
    <t>PO-00493</t>
  </si>
  <si>
    <t>PO-00494</t>
  </si>
  <si>
    <t>PO-00495</t>
  </si>
  <si>
    <t>PO-00497</t>
  </si>
  <si>
    <t>PO-00498</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</si>
  <si>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</si>
  <si>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</si>
  <si>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</si>
  <si>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</si>
  <si>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</si>
  <si>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</si>
  <si>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</si>
  <si>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</si>
  <si>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</si>
  <si>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</si>
  <si>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</si>
  <si>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</si>
  <si>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</si>
  <si>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</si>
  <si>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</si>
  <si>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</si>
  <si>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</si>
  <si>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</si>
  <si>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</si>
  <si>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</si>
  <si>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</si>
  <si>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</si>
  <si>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</si>
  <si>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</si>
  <si>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</si>
  <si>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</si>
  <si>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</si>
  <si>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PO-00528</t>
  </si>
  <si>
    <t>PO-00529</t>
  </si>
  <si>
    <t>PO-00530</t>
  </si>
  <si>
    <t>PO-00531</t>
  </si>
  <si>
    <t>PO-00532</t>
  </si>
  <si>
    <t>PO-00533</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</si>
  <si>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</si>
  <si>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</si>
  <si>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</si>
  <si>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</si>
  <si>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</si>
  <si>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</si>
  <si>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</si>
  <si>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</si>
  <si>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</si>
  <si>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</si>
  <si>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</si>
  <si>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</si>
  <si>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</si>
  <si>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</si>
  <si>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</si>
  <si>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</si>
  <si>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</si>
  <si>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</si>
  <si>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</si>
  <si>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</si>
  <si>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</si>
  <si>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</si>
  <si>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</si>
  <si>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</si>
  <si>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</si>
  <si>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PO-00561</t>
  </si>
  <si>
    <t>PO-00562</t>
  </si>
  <si>
    <t>PO-00563</t>
  </si>
  <si>
    <t>PO-00564</t>
  </si>
  <si>
    <t>PO-00565</t>
  </si>
  <si>
    <t>PO-00566</t>
  </si>
  <si>
    <t>PO-00567</t>
  </si>
  <si>
    <t>PO-00568</t>
  </si>
  <si>
    <t>PO-00569</t>
  </si>
  <si>
    <t>PO-00570</t>
  </si>
  <si>
    <t>PO-00571</t>
  </si>
  <si>
    <t>PO-00573</t>
  </si>
  <si>
    <t>PO-00574</t>
  </si>
  <si>
    <t>PO-00576</t>
  </si>
  <si>
    <t>PO-00577</t>
  </si>
  <si>
    <t>PO-00579</t>
  </si>
  <si>
    <t>PO-00580</t>
  </si>
  <si>
    <t>PO-00581</t>
  </si>
  <si>
    <t>PO-00582</t>
  </si>
  <si>
    <t>PO-00584</t>
  </si>
  <si>
    <t>PO-00585</t>
  </si>
  <si>
    <t>PO-00586</t>
  </si>
  <si>
    <t>PO-00587</t>
  </si>
  <si>
    <t>PO-00588</t>
  </si>
  <si>
    <t>PO-00589</t>
  </si>
  <si>
    <t>PO-00590</t>
  </si>
  <si>
    <t>PO-00591</t>
  </si>
  <si>
    <t>PO-00592</t>
  </si>
  <si>
    <t>PO-00593</t>
  </si>
  <si>
    <t>PO-00594</t>
  </si>
  <si>
    <t>PO-00595</t>
  </si>
  <si>
    <t>PO-00596</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</si>
  <si>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</si>
  <si>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</si>
  <si>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</si>
  <si>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</si>
  <si>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</si>
  <si>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</si>
  <si>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</si>
  <si>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</si>
  <si>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</si>
  <si>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</si>
  <si>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</si>
  <si>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</si>
  <si>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</si>
  <si>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</si>
  <si>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</si>
  <si>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</si>
  <si>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</si>
  <si>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</si>
  <si>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</si>
  <si>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</si>
  <si>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</si>
  <si>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</si>
  <si>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</si>
  <si>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</si>
  <si>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</si>
  <si>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</si>
  <si>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</si>
  <si>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</si>
  <si>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</si>
  <si>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</si>
  <si>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</si>
  <si>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</si>
  <si>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</si>
  <si>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</si>
  <si>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</si>
  <si>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</si>
  <si>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</si>
  <si>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</si>
  <si>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PO-00637</t>
  </si>
  <si>
    <t>PO-00638</t>
  </si>
  <si>
    <t>PO-00639</t>
  </si>
  <si>
    <t>PO-00640</t>
  </si>
  <si>
    <t>PO-00641</t>
  </si>
  <si>
    <t>PO-00642</t>
  </si>
  <si>
    <t>PO-00643</t>
  </si>
  <si>
    <t>PO-00644</t>
  </si>
  <si>
    <t>PO-00645</t>
  </si>
  <si>
    <t>PO-00646</t>
  </si>
  <si>
    <t>PO-00647</t>
  </si>
  <si>
    <t>PO-00649</t>
  </si>
  <si>
    <t>PO-00650</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</si>
  <si>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</si>
  <si>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</si>
  <si>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</si>
  <si>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</si>
  <si>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</si>
  <si>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</si>
  <si>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</si>
  <si>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</si>
  <si>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</si>
  <si>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</si>
  <si>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</si>
  <si>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</si>
  <si>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</si>
  <si>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</si>
  <si>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</si>
  <si>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</si>
  <si>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</si>
  <si>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</si>
  <si>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</si>
  <si>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</si>
  <si>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</si>
  <si>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</si>
  <si>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</si>
  <si>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</si>
  <si>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</si>
  <si>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</si>
  <si>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</si>
  <si>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PO-00680</t>
  </si>
  <si>
    <t>PO-00681</t>
  </si>
  <si>
    <t>PO-00682</t>
  </si>
  <si>
    <t>PO-00683</t>
  </si>
  <si>
    <t>PO-00684</t>
  </si>
  <si>
    <t>PO-00685</t>
  </si>
  <si>
    <t>PO-00687</t>
  </si>
  <si>
    <t>PO-00688</t>
  </si>
  <si>
    <t>PO-00690</t>
  </si>
  <si>
    <t>PO-00691</t>
  </si>
  <si>
    <t>PO-00692</t>
  </si>
  <si>
    <t>PO-00693</t>
  </si>
  <si>
    <t>PO-00694</t>
  </si>
  <si>
    <t>PO-00695</t>
  </si>
  <si>
    <t>PO-00696</t>
  </si>
  <si>
    <t>PO-00697</t>
  </si>
  <si>
    <t>PO-00698</t>
  </si>
  <si>
    <t>PO-00699</t>
  </si>
  <si>
    <t>PO-00700</t>
  </si>
  <si>
    <t>PO-00702</t>
  </si>
  <si>
    <t>PO-00703</t>
  </si>
  <si>
    <t>PO-00704</t>
  </si>
  <si>
    <t>PO-00706</t>
  </si>
  <si>
    <t>PO-00707</t>
  </si>
  <si>
    <t>PO-00708</t>
  </si>
  <si>
    <t>PO-00709</t>
  </si>
  <si>
    <t>PO-00710</t>
  </si>
  <si>
    <t>PO-00711</t>
  </si>
  <si>
    <t>PO-00713</t>
  </si>
  <si>
    <t>PO-00714</t>
  </si>
  <si>
    <t>PO-00715</t>
  </si>
  <si>
    <t>PO-00716</t>
  </si>
  <si>
    <t>PO-00717</t>
  </si>
  <si>
    <t>PO-00718</t>
  </si>
  <si>
    <t>PO-00719</t>
  </si>
  <si>
    <t>PO-00720</t>
  </si>
  <si>
    <t>PO-00721</t>
  </si>
  <si>
    <t>PO-00722</t>
  </si>
  <si>
    <t>PO-00723</t>
  </si>
  <si>
    <t>PO-00725</t>
  </si>
  <si>
    <t>PO-00726</t>
  </si>
  <si>
    <t>PO-00727</t>
  </si>
  <si>
    <t>PO-00728</t>
  </si>
  <si>
    <t>PO-00729</t>
  </si>
  <si>
    <t>PO-00730</t>
  </si>
  <si>
    <t>PO-00731</t>
  </si>
  <si>
    <t>PO-00732</t>
  </si>
  <si>
    <t>PO-00733</t>
  </si>
  <si>
    <t>PO-00734</t>
  </si>
  <si>
    <t>PO-00735</t>
  </si>
  <si>
    <t>PO-00736</t>
  </si>
  <si>
    <t>PO-00737</t>
  </si>
  <si>
    <t>PO-00739</t>
  </si>
  <si>
    <t>PO-00740</t>
  </si>
  <si>
    <t>PO-00741</t>
  </si>
  <si>
    <t>PO-00742</t>
  </si>
  <si>
    <t>PO-00744</t>
  </si>
  <si>
    <t>PO-00745</t>
  </si>
  <si>
    <t>PO-00747</t>
  </si>
  <si>
    <t>PO-00749</t>
  </si>
  <si>
    <t>PO-00750</t>
  </si>
  <si>
    <t>PO-00754</t>
  </si>
  <si>
    <t>PO-00755</t>
  </si>
  <si>
    <t>PO-00756</t>
  </si>
  <si>
    <t>PO-00757</t>
  </si>
  <si>
    <t>PO-00758</t>
  </si>
  <si>
    <t>PO-00759</t>
  </si>
  <si>
    <t>PO-00760</t>
  </si>
  <si>
    <t>PO-00761</t>
  </si>
  <si>
    <t>PO-00762</t>
  </si>
  <si>
    <t>PO-00763</t>
  </si>
  <si>
    <t>PO-00764</t>
  </si>
  <si>
    <t>PO-00765</t>
  </si>
  <si>
    <t>PO-00766</t>
  </si>
  <si>
    <t>PO-00767</t>
  </si>
  <si>
    <t>PO-00768</t>
  </si>
  <si>
    <t>PO-00769</t>
  </si>
  <si>
    <t>PO-00771</t>
  </si>
  <si>
    <t>PO-00772</t>
  </si>
  <si>
    <t>PO-00773</t>
  </si>
  <si>
    <t>PO-00775</t>
  </si>
  <si>
    <t>PO-00776</t>
  </si>
  <si>
    <t>PO-00777</t>
  </si>
  <si>
    <t>Grand Total</t>
  </si>
  <si>
    <t>Suppliers</t>
  </si>
  <si>
    <t>Item Categories</t>
  </si>
  <si>
    <t>Delivery Duration (Days)</t>
  </si>
  <si>
    <t>Avg Delivery Duration (Days)</t>
  </si>
  <si>
    <t>Defect Rate</t>
  </si>
  <si>
    <t>Total Cost</t>
  </si>
  <si>
    <t>Procurements</t>
  </si>
  <si>
    <t>Cost Savings</t>
  </si>
  <si>
    <t>Avg Order Cost</t>
  </si>
  <si>
    <t>Order Status</t>
  </si>
  <si>
    <t>Count</t>
  </si>
  <si>
    <t>Percentage</t>
  </si>
  <si>
    <t>Column Labels</t>
  </si>
  <si>
    <t>January</t>
  </si>
  <si>
    <t>February</t>
  </si>
  <si>
    <t>March</t>
  </si>
  <si>
    <t>April</t>
  </si>
  <si>
    <t>May</t>
  </si>
  <si>
    <t>June</t>
  </si>
  <si>
    <t>July</t>
  </si>
  <si>
    <t>August</t>
  </si>
  <si>
    <t>September</t>
  </si>
  <si>
    <t>October</t>
  </si>
  <si>
    <t>November</t>
  </si>
  <si>
    <t>December</t>
  </si>
  <si>
    <t>Month</t>
  </si>
  <si>
    <t>Cost</t>
  </si>
  <si>
    <t>Category</t>
  </si>
  <si>
    <t>Defective Units</t>
  </si>
  <si>
    <t>Average of Delivery Duration (Days)</t>
  </si>
  <si>
    <t>Average of Negotiation Difference %</t>
  </si>
  <si>
    <t>Sum of Quantity</t>
  </si>
  <si>
    <t>Order Status by Month</t>
  </si>
  <si>
    <t>Sum of Cost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</si>
</sst>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quot;$&quot;* #,##0_);_(&quot;$&quot;* \(#,##0\);_(&quot;$&quot;* &quot;-&quot;??_);_(@_)"/>
    <numFmt numFmtId="165" formatCode="_(* #,##0_);_(* \(#,##0\);_(* &quot;-&quot;??_);_(@_)"/>
    <numFmt numFmtId="166" formatCode="0.0"/>
    <numFmt numFmtId="167" formatCode="&quot;$&quot;#,##0"/>
  </numFmts>
  <fonts count="5" x14ac:knownFonts="1">
    <font>
      <sz val="11"/>
      <color theme="1"/>
      <name val="Calibri"/>
      <family val="2"/>
      <scheme val="minor"/>
    </font>
    <font>
      <sz val="11"/>
      <color theme="1"/>
      <name val="Calibri"/>
      <family val="2"/>
      <scheme val="minor"/>
    </font>
    <font>
      <b/>
      <sz val="14"/>
      <color theme="1"/>
      <name val="Calibri"/>
      <family val="2"/>
      <scheme val="minor"/>
    </font>
    <font>
      <sz val="10"/>
      <color theme="1"/>
      <name val="Calibri"/>
      <family val="2"/>
      <scheme val="minor"/>
    </font>
    <font>
      <b/>
      <sz val="10"/>
      <color theme="5" tint="-0.249977111117893"/>
      <name val="Calibri"/>
      <family val="2"/>
      <scheme val="minor"/>
    </font>
  </fonts>
  <fills count="4">
    <fill>
      <patternFill patternType="none"/>
    </fill>
    <fill>
      <patternFill patternType="gray125"/>
    </fill>
    <fill>
      <patternFill patternType="solid">
        <fgColor theme="5" tint="0.79998168889431442"/>
        <bgColor indexed="65"/>
      </patternFill>
    </fill>
    <fill>
      <patternFill patternType="solid">
        <fgColor theme="0"/>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1" fontId="2" fillId="3" borderId="0"/>
    <xf numFmtId="0" fontId="1" fillId="0" borderId="0"/>
  </cellStyleXfs>
  <cellXfs count="16">
    <xf numFmtId="0" fontId="0" fillId="0" borderId="0" xfId="0"/>
    <xf numFmtId="14" fontId="0" fillId="0" borderId="0" xfId="0" applyNumberFormat="1"/>
    <xf numFmtId="1" fontId="0" fillId="0" borderId="0" xfId="0" applyNumberFormat="1"/>
    <xf numFmtId="1" fontId="0" fillId="0" borderId="0" xfId="0" pivotButton="1" applyNumberFormat="1"/>
    <xf numFmtId="164" fontId="0" fillId="0" borderId="0" xfId="0" applyNumberFormat="1"/>
    <xf numFmtId="1" fontId="0" fillId="0" borderId="0" xfId="0" applyNumberFormat="1" applyAlignment="1">
      <alignment horizontal="left"/>
    </xf>
    <xf numFmtId="165" fontId="0" fillId="0" borderId="0" xfId="0" applyNumberFormat="1"/>
    <xf numFmtId="10" fontId="0" fillId="0" borderId="0" xfId="0" applyNumberFormat="1"/>
    <xf numFmtId="43" fontId="0" fillId="0" borderId="0" xfId="0" applyNumberFormat="1"/>
    <xf numFmtId="0" fontId="0" fillId="3" borderId="0" xfId="0" applyFill="1"/>
    <xf numFmtId="166" fontId="0" fillId="0" borderId="0" xfId="0" applyNumberFormat="1"/>
    <xf numFmtId="9" fontId="0" fillId="0" borderId="0" xfId="1" applyFont="1"/>
    <xf numFmtId="1" fontId="3" fillId="2" borderId="0" xfId="0" applyNumberFormat="1" applyFont="1" applyFill="1" applyAlignment="1">
      <alignment horizontal="center" vertical="center" readingOrder="1"/>
    </xf>
    <xf numFmtId="167" fontId="3" fillId="0" borderId="0" xfId="0" applyNumberFormat="1" applyFont="1" applyAlignment="1">
      <alignment horizontal="center" vertical="center" readingOrder="1"/>
    </xf>
    <xf numFmtId="165" fontId="3" fillId="0" borderId="0" xfId="0" applyNumberFormat="1" applyFont="1" applyAlignment="1">
      <alignment horizontal="center" vertical="center" readingOrder="1"/>
    </xf>
    <xf numFmtId="1" fontId="4" fillId="2" borderId="0" xfId="0" applyNumberFormat="1" applyFont="1" applyFill="1" applyAlignment="1">
      <alignment horizontal="left" vertical="center" indent="1" readingOrder="1"/>
    </xf>
  </cellXfs>
  <cellStyles count="4">
    <cellStyle name="Normal" xfId="0" builtinId="0"/>
    <cellStyle name="Percent" xfId="1" builtinId="5"/>
    <cellStyle name="Style 1" xfId="2" xr:uid="{F29467CC-E219-4A9F-B46B-22F1D19C82E4}"/>
    <cellStyle name="Style 2" xfId="3" xr:uid="{30D1A834-1318-4C2D-BBFA-EA84150B61CF}"/>
  </cellStyles>
  <dxfs count="124">
    <dxf>
      <numFmt numFmtId="166" formatCode="0.0"/>
    </dxf>
    <dxf>
      <numFmt numFmtId="1" formatCode="0"/>
    </dxf>
    <dxf>
      <numFmt numFmtId="1" formatCode="0"/>
    </dxf>
    <dxf>
      <numFmt numFmtId="14" formatCode="0.00%"/>
    </dxf>
    <dxf>
      <numFmt numFmtId="165" formatCode="_(* #,##0_);_(* \(#,##0\);_(* &quot;-&quot;??_);_(@_)"/>
    </dxf>
    <dxf>
      <numFmt numFmtId="1" formatCode="0"/>
    </dxf>
    <dxf>
      <numFmt numFmtId="1" formatCode="0"/>
    </dxf>
    <dxf>
      <numFmt numFmtId="14" formatCode="0.00%"/>
    </dxf>
    <dxf>
      <numFmt numFmtId="1" formatCode="0"/>
    </dxf>
    <dxf>
      <numFmt numFmtId="1" formatCode="0"/>
    </dxf>
    <dxf>
      <numFmt numFmtId="164" formatCode="_(&quot;$&quot;* #,##0_);_(&quot;$&quot;* \(#,##0\);_(&quot;$&quot;* &quot;-&quot;??_);_(@_)"/>
    </dxf>
    <dxf>
      <numFmt numFmtId="1" formatCode="0"/>
    </dxf>
    <dxf>
      <numFmt numFmtId="1" formatCode="0"/>
    </dxf>
    <dxf>
      <numFmt numFmtId="165" formatCode="_(* #,##0_);_(* \(#,##0\);_(* &quot;-&quot;??_);_(@_)"/>
    </dxf>
    <dxf>
      <numFmt numFmtId="164" formatCode="_(&quot;$&quot;* #,##0_);_(&quot;$&quot;* \(#,##0\);_(&quot;$&quot;* &quot;-&quot;??_);_(@_)"/>
    </dxf>
    <dxf>
      <numFmt numFmtId="1" formatCode="0"/>
    </dxf>
    <dxf>
      <numFmt numFmtId="1" formatCode="0"/>
    </dxf>
    <dxf>
      <numFmt numFmtId="14" formatCode="0.00%"/>
    </dxf>
    <dxf>
      <numFmt numFmtId="164" formatCode="_(&quot;$&quot;* #,##0_);_(&quot;$&quot;* \(#,##0\);_(&quot;$&quot;* &quot;-&quot;??_);_(@_)"/>
    </dxf>
    <dxf>
      <numFmt numFmtId="1" formatCode="0"/>
    </dxf>
    <dxf>
      <numFmt numFmtId="1" formatCode="0"/>
    </dxf>
    <dxf>
      <numFmt numFmtId="1" formatCode="0"/>
    </dxf>
    <dxf>
      <numFmt numFmtId="1" formatCode="0"/>
    </dxf>
    <dxf>
      <numFmt numFmtId="35" formatCode="_(* #,##0.00_);_(* \(#,##0.00\);_(* &quot;-&quot;??_);_(@_)"/>
    </dxf>
    <dxf>
      <numFmt numFmtId="1" formatCode="0"/>
    </dxf>
    <dxf>
      <numFmt numFmtId="1" formatCode="0"/>
    </dxf>
    <dxf>
      <numFmt numFmtId="164" formatCode="_(&quot;$&quot;* #,##0_);_(&quot;$&quot;* \(#,##0\);_(&quot;$&quot;* &quot;-&quot;??_);_(@_)"/>
    </dxf>
    <dxf>
      <numFmt numFmtId="1" formatCode="0"/>
    </dxf>
    <dxf>
      <numFmt numFmtId="1" formatCode="0"/>
    </dxf>
    <dxf>
      <numFmt numFmtId="164" formatCode="_(&quot;$&quot;* #,##0_);_(&quot;$&quot;* \(#,##0\);_(&quot;$&quot;* &quot;-&quot;??_);_(@_)"/>
    </dxf>
    <dxf>
      <numFmt numFmtId="1" formatCode="0"/>
    </dxf>
    <dxf>
      <numFmt numFmtId="1" formatCode="0"/>
    </dxf>
    <dxf>
      <numFmt numFmtId="14" formatCode="0.00%"/>
    </dxf>
    <dxf>
      <numFmt numFmtId="165" formatCode="_(* #,##0_);_(* \(#,##0\);_(* &quot;-&quot;??_);_(@_)"/>
    </dxf>
    <dxf>
      <numFmt numFmtId="1" formatCode="0"/>
    </dxf>
    <dxf>
      <numFmt numFmtId="1" formatCode="0"/>
    </dxf>
    <dxf>
      <numFmt numFmtId="165" formatCode="_(* #,##0_);_(* \(#,##0\);_(* &quot;-&quot;??_);_(@_)"/>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alignment relativeIndent="-1"/>
    </dxf>
    <dxf>
      <alignment relativeIndent="1"/>
    </dxf>
    <dxf>
      <alignment relativeIndent="1"/>
    </dxf>
    <dxf>
      <alignment horizontal="left"/>
    </dxf>
    <dxf>
      <alignment horizontal="center"/>
    </dxf>
    <dxf>
      <alignment horizontal="center"/>
    </dxf>
    <dxf>
      <alignment horizontal="center"/>
    </dxf>
    <dxf>
      <alignment horizontal="center"/>
    </dxf>
    <dxf>
      <font>
        <b/>
      </font>
    </dxf>
    <dxf>
      <font>
        <color theme="5" tint="-0.249977111117893"/>
      </font>
    </dxf>
    <dxf>
      <alignment readingOrder="1"/>
    </dxf>
    <dxf>
      <alignment readingOrder="1"/>
    </dxf>
    <dxf>
      <alignment readingOrder="1"/>
    </dxf>
    <dxf>
      <alignment readingOrder="1"/>
    </dxf>
    <dxf>
      <alignment readingOrder="1"/>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sz val="10"/>
      </font>
    </dxf>
    <dxf>
      <font>
        <sz val="10"/>
      </font>
    </dxf>
    <dxf>
      <font>
        <sz val="10"/>
      </font>
    </dxf>
    <dxf>
      <font>
        <sz val="10"/>
      </font>
    </dxf>
    <dxf>
      <font>
        <sz val="10"/>
      </font>
    </dxf>
    <dxf>
      <alignment horizontal="center"/>
    </dxf>
    <dxf>
      <font>
        <sz val="11"/>
      </font>
    </dxf>
    <dxf>
      <alignment vertical="center"/>
    </dxf>
    <dxf>
      <font>
        <sz val="9"/>
      </font>
    </dxf>
    <dxf>
      <border>
        <right style="thin">
          <color indexed="64"/>
        </right>
      </border>
    </dxf>
    <dxf>
      <border>
        <bottom style="thin">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i val="0"/>
        <strike val="0"/>
        <condense val="0"/>
        <extend val="0"/>
        <outline val="0"/>
        <shadow val="0"/>
        <u val="none"/>
        <vertAlign val="baseline"/>
        <sz val="14"/>
        <color theme="1"/>
        <name val="Calibri"/>
        <family val="2"/>
        <scheme val="minor"/>
      </font>
      <numFmt numFmtId="1" formatCode="0"/>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alignment vertical="center"/>
    </dxf>
    <dxf>
      <font>
        <sz val="9"/>
      </font>
    </dxf>
    <dxf>
      <border>
        <bottom style="thin">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i val="0"/>
        <strike val="0"/>
        <condense val="0"/>
        <extend val="0"/>
        <outline val="0"/>
        <shadow val="0"/>
        <u val="none"/>
        <vertAlign val="baseline"/>
        <sz val="14"/>
        <color theme="1"/>
        <name val="Calibri"/>
        <family val="2"/>
        <scheme val="minor"/>
      </font>
      <numFmt numFmtId="1" formatCode="0"/>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sz val="11"/>
      </font>
    </dxf>
    <dxf>
      <font>
        <sz val="11"/>
      </font>
    </dxf>
    <dxf>
      <font>
        <sz val="11"/>
      </font>
    </dxf>
    <dxf>
      <alignment vertical="center"/>
    </dxf>
    <dxf>
      <alignment vertical="center"/>
    </dxf>
    <dxf>
      <alignment vertical="center"/>
    </dxf>
    <dxf>
      <font>
        <sz val="9"/>
      </font>
    </dxf>
    <dxf>
      <font>
        <sz val="9"/>
      </font>
    </dxf>
    <dxf>
      <font>
        <sz val="9"/>
      </font>
    </dxf>
    <dxf>
      <font>
        <sz val="9"/>
      </font>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sz val="14"/>
      </font>
    </dxf>
    <dxf>
      <numFmt numFmtId="165" formatCode="_(* #,##0_);_(* \(#,##0\);_(* &quot;-&quot;??_);_(@_)"/>
    </dxf>
    <dxf>
      <numFmt numFmtId="165" formatCode="_(* #,##0_);_(* \(#,##0\);_(* &quot;-&quot;??_);_(@_)"/>
    </dxf>
    <dxf>
      <numFmt numFmtId="167" formatCode="&quot;$&quot;#,##0"/>
    </dxf>
    <dxf>
      <numFmt numFmtId="14" formatCode="0.00%"/>
    </dxf>
    <dxf>
      <numFmt numFmtId="1" formatCode="0"/>
    </dxf>
    <dxf>
      <numFmt numFmtId="1" formatCode="0"/>
    </dxf>
    <dxf>
      <numFmt numFmtId="165" formatCode="_(* #,##0_);_(* \(#,##0\);_(* &quot;-&quot;??_);_(@_)"/>
    </dxf>
    <dxf>
      <numFmt numFmtId="164" formatCode="_(&quot;$&quot;* #,##0_);_(&quot;$&quot;* \(#,##0\);_(&quot;$&quot;* &quot;-&quot;??_);_(@_)"/>
    </dxf>
    <dxf>
      <numFmt numFmtId="1" formatCode="0"/>
    </dxf>
    <dxf>
      <numFmt numFmtId="1" formatCode="0"/>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ont>
        <b/>
        <color theme="1"/>
      </font>
      <border diagonalUp="0" diagonalDown="0">
        <left/>
        <right/>
        <top/>
        <bottom/>
        <vertical/>
        <horizontal/>
      </border>
    </dxf>
    <dxf>
      <font>
        <color theme="1"/>
      </font>
      <fill>
        <patternFill patternType="solid">
          <fgColor indexed="64"/>
          <bgColor theme="5" tint="0.39994506668294322"/>
        </patternFill>
      </fill>
      <border diagonalUp="0" diagonalDown="0">
        <left/>
        <right/>
        <top/>
        <bottom/>
        <vertical/>
        <horizontal/>
      </border>
    </dxf>
    <dxf>
      <font>
        <b/>
        <color theme="1"/>
      </font>
      <border diagonalUp="0" diagonalDown="0">
        <left/>
        <right/>
        <top/>
        <bottom/>
        <vertical/>
        <horizontal/>
      </border>
    </dxf>
    <dxf>
      <font>
        <color theme="1"/>
      </font>
      <fill>
        <patternFill patternType="none">
          <fgColor indexed="64"/>
          <bgColor auto="1"/>
        </patternFill>
      </fill>
      <border diagonalUp="0" diagonalDown="0">
        <left/>
        <right/>
        <top/>
        <bottom/>
        <vertical/>
        <horizontal/>
      </border>
    </dxf>
  </dxfs>
  <tableStyles count="2" defaultTableStyle="TableStyleMedium2" defaultPivotStyle="PivotStyleLight16">
    <tableStyle name="SlicerStyleLight1 2" pivot="0" table="0" count="10" xr9:uid="{E4C0323F-3558-4F66-A8AC-1C26B0E70DA7}">
      <tableStyleElement type="wholeTable" dxfId="123"/>
      <tableStyleElement type="headerRow" dxfId="122"/>
    </tableStyle>
    <tableStyle name="SlicerStyleLight1 2 2" pivot="0" table="0" count="10" xr9:uid="{CC9D6DDC-3462-4255-945C-563FC823872A}">
      <tableStyleElement type="wholeTable" dxfId="121"/>
      <tableStyleElement type="headerRow" dxfId="12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theme="5" tint="0.80001220740379042"/>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5"/>
            </patternFill>
          </fill>
          <border diagonalUp="0" diagonalDown="0">
            <left style="thin">
              <color theme="5" tint="-0.499984740745262"/>
            </left>
            <right style="thin">
              <color theme="5" tint="-0.499984740745262"/>
            </right>
            <top style="thin">
              <color theme="5" tint="-0.499984740745262"/>
            </top>
            <bottom style="thin">
              <color theme="5"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0"/>
              </stop>
              <stop position="1">
                <color theme="5" tint="0.80001220740379042"/>
              </stop>
            </gradientFill>
          </fill>
          <border>
            <left style="thin">
              <color theme="1"/>
            </left>
            <right style="thin">
              <color theme="1"/>
            </right>
            <top style="thin">
              <color theme="1"/>
            </top>
            <bottom style="thin">
              <color theme="1"/>
            </bottom>
            <vertical/>
            <horizontal/>
          </border>
        </dxf>
        <dxf>
          <font>
            <color rgb="FF000000"/>
          </font>
          <fill>
            <gradientFill degree="90">
              <stop position="0">
                <color theme="0"/>
              </stop>
              <stop position="1">
                <color theme="5" tint="0.80001220740379042"/>
              </stop>
            </gradientFill>
          </fill>
          <border>
            <left style="thin">
              <color theme="1"/>
            </left>
            <right style="thin">
              <color theme="1"/>
            </right>
            <top style="thin">
              <color theme="1"/>
            </top>
            <bottom style="thin">
              <color theme="1"/>
            </bottom>
            <vertical/>
            <horizontal/>
          </border>
        </dxf>
        <dxf>
          <font>
            <color rgb="FF000000"/>
          </font>
          <fill>
            <gradientFill degree="90">
              <stop position="0">
                <color theme="0"/>
              </stop>
              <stop position="1">
                <color theme="5" tint="0.80001220740379042"/>
              </stop>
            </gradientFill>
          </fill>
          <border>
            <left style="thin">
              <color theme="1"/>
            </left>
            <right style="thin">
              <color theme="1"/>
            </right>
            <top style="thin">
              <color theme="1"/>
            </top>
            <bottom style="thin">
              <color theme="1"/>
            </bottom>
            <vertical/>
            <horizontal/>
          </border>
        </dxf>
        <dxf>
          <font>
            <color rgb="FF000000"/>
          </font>
          <fill>
            <gradientFill degree="90">
              <stop position="0">
                <color theme="0"/>
              </stop>
              <stop position="1">
                <color theme="5" tint="0.80001220740379042"/>
              </stop>
            </gradientFill>
          </fill>
          <border>
            <left style="thin">
              <color theme="1"/>
            </left>
            <right style="thin">
              <color theme="1"/>
            </right>
            <top style="thin">
              <color theme="1"/>
            </top>
            <bottom style="thin">
              <color theme="1"/>
            </bottom>
            <vertical/>
            <horizontal/>
          </border>
        </dxf>
        <dxf>
          <font>
            <color rgb="FF828282"/>
          </font>
          <fill>
            <gradientFill degree="90">
              <stop position="0">
                <color theme="0"/>
              </stop>
              <stop position="1">
                <color theme="5"/>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5"/>
            </patternFill>
          </fill>
          <border diagonalUp="0" diagonalDown="0">
            <left style="thin">
              <color theme="5" tint="-0.499984740745262"/>
            </left>
            <right style="thin">
              <color theme="5" tint="-0.499984740745262"/>
            </right>
            <top style="thin">
              <color theme="5" tint="-0.499984740745262"/>
            </top>
            <bottom style="thin">
              <color theme="5"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customXml" Target="../customXml/item2.xml"/><Relationship Id="rId21" Type="http://schemas.openxmlformats.org/officeDocument/2006/relationships/pivotCacheDefinition" Target="pivotCache/pivotCacheDefinition16.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3.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07/relationships/slicerCache" Target="slicerCaches/slicerCache5.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5.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2.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s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a:outerShdw blurRad="50800" dist="38100" dir="2700000" algn="tl" rotWithShape="0">
              <a:prstClr val="black">
                <a:alpha val="40000"/>
              </a:prstClr>
            </a:outerShdw>
          </a:effectLst>
        </c:spPr>
      </c:pivotFmt>
      <c:pivotFmt>
        <c:idx val="3"/>
        <c:spPr>
          <a:solidFill>
            <a:schemeClr val="accent1"/>
          </a:solidFill>
          <a:ln w="19050">
            <a:noFill/>
          </a:ln>
          <a:effectLst>
            <a:outerShdw blurRad="50800" dist="38100" dir="2700000" algn="tl" rotWithShape="0">
              <a:prstClr val="black">
                <a:alpha val="40000"/>
              </a:prstClr>
            </a:outerShdw>
          </a:effectLst>
        </c:spPr>
      </c:pivotFmt>
      <c:pivotFmt>
        <c:idx val="4"/>
        <c:spPr>
          <a:solidFill>
            <a:schemeClr val="accent1"/>
          </a:solidFill>
          <a:ln w="19050">
            <a:noFill/>
          </a:ln>
          <a:effectLst>
            <a:outerShdw blurRad="50800" dist="38100" dir="2700000" algn="tl" rotWithShape="0">
              <a:prstClr val="black">
                <a:alpha val="40000"/>
              </a:prstClr>
            </a:outerShdw>
          </a:effectLst>
        </c:spPr>
      </c:pivotFmt>
      <c:pivotFmt>
        <c:idx val="5"/>
        <c:spPr>
          <a:solidFill>
            <a:schemeClr val="accent1"/>
          </a:solidFill>
          <a:ln w="19050">
            <a:noFill/>
          </a:ln>
          <a:effectLst>
            <a:outerShdw blurRad="50800" dist="38100" dir="2700000" algn="tl" rotWithShape="0">
              <a:prstClr val="black">
                <a:alpha val="40000"/>
              </a:prstClr>
            </a:outerShdw>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PivotTables!$C$18</c:f>
              <c:strCache>
                <c:ptCount val="1"/>
                <c:pt idx="0">
                  <c:v>Count</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BA2-463A-9889-D5F27467EACE}"/>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BA2-463A-9889-D5F27467EACE}"/>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BA2-463A-9889-D5F27467EACE}"/>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BA2-463A-9889-D5F27467EACE}"/>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PivotTables!$B$19:$B$23</c:f>
              <c:strCache>
                <c:ptCount val="4"/>
                <c:pt idx="0">
                  <c:v>Cancelled</c:v>
                </c:pt>
                <c:pt idx="1">
                  <c:v>Delivered</c:v>
                </c:pt>
                <c:pt idx="2">
                  <c:v>Partially Delivered</c:v>
                </c:pt>
                <c:pt idx="3">
                  <c:v>Pending</c:v>
                </c:pt>
              </c:strCache>
            </c:strRef>
          </c:cat>
          <c:val>
            <c:numRef>
              <c:f>PivotTables!$C$19:$C$23</c:f>
              <c:numCache>
                <c:formatCode>0</c:formatCode>
                <c:ptCount val="4"/>
                <c:pt idx="0">
                  <c:v>55</c:v>
                </c:pt>
                <c:pt idx="1">
                  <c:v>492</c:v>
                </c:pt>
                <c:pt idx="2">
                  <c:v>68</c:v>
                </c:pt>
                <c:pt idx="3">
                  <c:v>75</c:v>
                </c:pt>
              </c:numCache>
            </c:numRef>
          </c:val>
          <c:extLst>
            <c:ext xmlns:c16="http://schemas.microsoft.com/office/drawing/2014/chart" uri="{C3380CC4-5D6E-409C-BE32-E72D297353CC}">
              <c16:uniqueId val="{00000016-3486-48D6-AAF5-773C5ABCE036}"/>
            </c:ext>
          </c:extLst>
        </c:ser>
        <c:ser>
          <c:idx val="1"/>
          <c:order val="1"/>
          <c:tx>
            <c:strRef>
              <c:f>PivotTables!$D$18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EBA2-463A-9889-D5F27467EA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EBA2-463A-9889-D5F27467EA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EBA2-463A-9889-D5F27467EA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EBA2-463A-9889-D5F27467EA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PivotTables!$B$19:$B$23</c:f>
              <c:strCache>
                <c:ptCount val="4"/>
                <c:pt idx="0">
                  <c:v>Cancelled</c:v>
                </c:pt>
                <c:pt idx="1">
                  <c:v>Delivered</c:v>
                </c:pt>
                <c:pt idx="2">
                  <c:v>Partially Delivered</c:v>
                </c:pt>
                <c:pt idx="3">
                  <c:v>Pending</c:v>
                </c:pt>
              </c:strCache>
            </c:strRef>
          </c:cat>
          <c:val>
            <c:numRef>
              <c:f>PivotTables!$D$19:$D$23</c:f>
              <c:numCache>
                <c:formatCode>0.00%</c:formatCode>
                <c:ptCount val="4"/>
                <c:pt idx="0">
                  <c:v>7.9710144927536225E-2</c:v>
                </c:pt>
                <c:pt idx="1">
                  <c:v>0.71304347826086956</c:v>
                </c:pt>
                <c:pt idx="2">
                  <c:v>9.8550724637681164E-2</c:v>
                </c:pt>
                <c:pt idx="3">
                  <c:v>0.10869565217391304</c:v>
                </c:pt>
              </c:numCache>
            </c:numRef>
          </c:val>
          <c:extLst>
            <c:ext xmlns:c16="http://schemas.microsoft.com/office/drawing/2014/chart" uri="{C3380CC4-5D6E-409C-BE32-E72D297353CC}">
              <c16:uniqueId val="{00000017-3486-48D6-AAF5-773C5ABCE036}"/>
            </c:ext>
          </c:extLst>
        </c:ser>
        <c:dLbls>
          <c:showLegendKey val="0"/>
          <c:showVal val="0"/>
          <c:showCatName val="0"/>
          <c:showSerName val="0"/>
          <c:showPercent val="0"/>
          <c:showBubbleSize val="0"/>
          <c:showLeaderLines val="1"/>
        </c:dLbls>
        <c:firstSliceAng val="14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[project.xlsx]PivotTables!PivotTable14</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PivotTables!$G$18:$G$19</c:f>
              <c:strCache>
                <c:ptCount val="1"/>
                <c:pt idx="0">
                  <c:v>Cancelled</c:v>
                </c:pt>
              </c:strCache>
            </c:strRef>
          </c:tx>
          <c:spPr>
            <a:ln w="28575" cap="rnd">
              <a:solidFill>
                <a:schemeClr val="accent1"/>
              </a:solidFill>
              <a:round/>
            </a:ln>
            <a:effectLst/>
          </c:spPr>
          <c:marker>
            <c:symbol val="none"/>
          </c:marker>
          <c:cat>
            <c:strRef>
              <c:f>PivotTables!$F$20:$F$32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PivotTables!$G$20:$G$32</c:f>
              <c:numCache>
                <c:formatCode>0</c:formatCode>
                <c:ptCount val="12"/>
                <c:pt idx="0">
                  <c:v>4</c:v>
                </c:pt>
                <c:pt idx="1">
                  <c:v>5</c:v>
                </c:pt>
                <c:pt idx="2">
                  <c:v>7</c:v>
                </c:pt>
                <c:pt idx="3">
                  <c:v>3</c:v>
                </c:pt>
                <c:pt idx="4">
                  <c:v>5</c:v>
                </c:pt>
                <c:pt idx="5">
                  <c:v>1</c:v>
                </c:pt>
                <c:pt idx="6">
                  <c:v>7</c:v>
                </c:pt>
                <c:pt idx="7">
                  <c:v>7</c:v>
                </c:pt>
                <c:pt idx="8">
                  <c:v>5</c:v>
                </c:pt>
                <c:pt idx="9">
                  <c:v>6</c:v>
                </c:pt>
                <c:pt idx="10">
                  <c:v>3</c:v>
                </c:pt>
                <c:pt idx="11">
                  <c:v>2</c:v>
                </c:pt>
              </c:numCache>
            </c:numRef>
          </c:val>
          <c:smooth val="0"/>
          <c:extLst>
            <c:ext xmlns:c16="http://schemas.microsoft.com/office/drawing/2014/chart" uri="{C3380CC4-5D6E-409C-BE32-E72D297353CC}">
              <c16:uniqueId val="{00000016-28CF-4BF2-91CA-5830782E13B3}"/>
            </c:ext>
          </c:extLst>
        </c:ser>
        <c:ser>
          <c:idx val="1"/>
          <c:order val="1"/>
          <c:tx>
            <c:strRef>
              <c:f>PivotTables!$H$18:$H$19</c:f>
              <c:strCache>
                <c:ptCount val="1"/>
                <c:pt idx="0">
                  <c:v>Delivered</c:v>
                </c:pt>
              </c:strCache>
            </c:strRef>
          </c:tx>
          <c:spPr>
            <a:ln w="28575" cap="rnd">
              <a:solidFill>
                <a:schemeClr val="accent2"/>
              </a:solidFill>
              <a:round/>
            </a:ln>
            <a:effectLst/>
          </c:spPr>
          <c:marker>
            <c:symbol val="none"/>
          </c:marker>
          <c:cat>
            <c:strRef>
              <c:f>PivotTables!$F$20:$F$32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PivotTables!$H$20:$H$32</c:f>
              <c:numCache>
                <c:formatCode>0</c:formatCode>
                <c:ptCount val="12"/>
                <c:pt idx="0">
                  <c:v>43</c:v>
                </c:pt>
                <c:pt idx="1">
                  <c:v>34</c:v>
                </c:pt>
                <c:pt idx="2">
                  <c:v>50</c:v>
                </c:pt>
                <c:pt idx="3">
                  <c:v>45</c:v>
                </c:pt>
                <c:pt idx="4">
                  <c:v>23</c:v>
                </c:pt>
                <c:pt idx="5">
                  <c:v>37</c:v>
                </c:pt>
                <c:pt idx="6">
                  <c:v>47</c:v>
                </c:pt>
                <c:pt idx="7">
                  <c:v>44</c:v>
                </c:pt>
                <c:pt idx="8">
                  <c:v>49</c:v>
                </c:pt>
                <c:pt idx="9">
                  <c:v>39</c:v>
                </c:pt>
                <c:pt idx="10">
                  <c:v>44</c:v>
                </c:pt>
                <c:pt idx="11">
                  <c:v>37</c:v>
                </c:pt>
              </c:numCache>
            </c:numRef>
          </c:val>
          <c:smooth val="0"/>
          <c:extLst>
            <c:ext xmlns:c16="http://schemas.microsoft.com/office/drawing/2014/chart" uri="{C3380CC4-5D6E-409C-BE32-E72D297353CC}">
              <c16:uniqueId val="{00000003-7C14-4092-8ED2-04A5C1343761}"/>
            </c:ext>
          </c:extLst>
        </c:ser>
        <c:ser>
          <c:idx val="2"/>
          <c:order val="2"/>
          <c:tx>
            <c:strRef>
              <c:f>PivotTables!$I$18:$I$19</c:f>
              <c:strCache>
                <c:ptCount val="1"/>
                <c:pt idx="0">
                  <c:v>Partially Delivered</c:v>
                </c:pt>
              </c:strCache>
            </c:strRef>
          </c:tx>
          <c:spPr>
            <a:ln w="28575" cap="rnd">
              <a:solidFill>
                <a:schemeClr val="accent3"/>
              </a:solidFill>
              <a:round/>
            </a:ln>
            <a:effectLst/>
          </c:spPr>
          <c:marker>
            <c:symbol val="none"/>
          </c:marker>
          <c:cat>
            <c:strRef>
              <c:f>PivotTables!$F$20:$F$32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PivotTables!$I$20:$I$32</c:f>
              <c:numCache>
                <c:formatCode>0</c:formatCode>
                <c:ptCount val="12"/>
                <c:pt idx="0">
                  <c:v>1</c:v>
                </c:pt>
                <c:pt idx="1">
                  <c:v>4</c:v>
                </c:pt>
                <c:pt idx="2">
                  <c:v>9</c:v>
                </c:pt>
                <c:pt idx="3">
                  <c:v>7</c:v>
                </c:pt>
                <c:pt idx="4">
                  <c:v>8</c:v>
                </c:pt>
                <c:pt idx="5">
                  <c:v>7</c:v>
                </c:pt>
                <c:pt idx="6">
                  <c:v>6</c:v>
                </c:pt>
                <c:pt idx="7">
                  <c:v>4</c:v>
                </c:pt>
                <c:pt idx="8">
                  <c:v>8</c:v>
                </c:pt>
                <c:pt idx="9">
                  <c:v>6</c:v>
                </c:pt>
                <c:pt idx="10">
                  <c:v>4</c:v>
                </c:pt>
                <c:pt idx="11">
                  <c:v>4</c:v>
                </c:pt>
              </c:numCache>
            </c:numRef>
          </c:val>
          <c:smooth val="0"/>
          <c:extLst>
            <c:ext xmlns:c16="http://schemas.microsoft.com/office/drawing/2014/chart" uri="{C3380CC4-5D6E-409C-BE32-E72D297353CC}">
              <c16:uniqueId val="{00000004-7C14-4092-8ED2-04A5C1343761}"/>
            </c:ext>
          </c:extLst>
        </c:ser>
        <c:ser>
          <c:idx val="3"/>
          <c:order val="3"/>
          <c:tx>
            <c:strRef>
              <c:f>PivotTables!$J$18:$J$19</c:f>
              <c:strCache>
                <c:ptCount val="1"/>
                <c:pt idx="0">
                  <c:v>Pending</c:v>
                </c:pt>
              </c:strCache>
            </c:strRef>
          </c:tx>
          <c:spPr>
            <a:ln w="28575" cap="rnd">
              <a:solidFill>
                <a:schemeClr val="accent4"/>
              </a:solidFill>
              <a:round/>
            </a:ln>
            <a:effectLst/>
          </c:spPr>
          <c:marker>
            <c:symbol val="none"/>
          </c:marker>
          <c:cat>
            <c:strRef>
              <c:f>PivotTables!$F$20:$F$32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PivotTables!$J$20:$J$32</c:f>
              <c:numCache>
                <c:formatCode>0</c:formatCode>
                <c:ptCount val="12"/>
                <c:pt idx="0">
                  <c:v>8</c:v>
                </c:pt>
                <c:pt idx="1">
                  <c:v>7</c:v>
                </c:pt>
                <c:pt idx="2">
                  <c:v>8</c:v>
                </c:pt>
                <c:pt idx="3">
                  <c:v>2</c:v>
                </c:pt>
                <c:pt idx="4">
                  <c:v>4</c:v>
                </c:pt>
                <c:pt idx="5">
                  <c:v>9</c:v>
                </c:pt>
                <c:pt idx="6">
                  <c:v>4</c:v>
                </c:pt>
                <c:pt idx="7">
                  <c:v>8</c:v>
                </c:pt>
                <c:pt idx="8">
                  <c:v>5</c:v>
                </c:pt>
                <c:pt idx="9">
                  <c:v>3</c:v>
                </c:pt>
                <c:pt idx="10">
                  <c:v>12</c:v>
                </c:pt>
                <c:pt idx="11">
                  <c:v>5</c:v>
                </c:pt>
              </c:numCache>
            </c:numRef>
          </c:val>
          <c:smooth val="0"/>
          <c:extLst>
            <c:ext xmlns:c16="http://schemas.microsoft.com/office/drawing/2014/chart" uri="{C3380CC4-5D6E-409C-BE32-E72D297353CC}">
              <c16:uniqueId val="{00000005-7C14-4092-8ED2-04A5C1343761}"/>
            </c:ext>
          </c:extLst>
        </c:ser>
        <c:dLbls>
          <c:showLegendKey val="0"/>
          <c:showVal val="0"/>
          <c:showCatName val="0"/>
          <c:showSerName val="0"/>
          <c:showPercent val="0"/>
          <c:showBubbleSize val="0"/>
        </c:dLbls>
        <c:smooth val="0"/>
        <c:axId val="926906048"/>
        <c:axId val="926906528"/>
      </c:lineChart>
      <c:catAx>
        <c:axId val="9269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06528"/>
        <c:crosses val="autoZero"/>
        <c:auto val="1"/>
        <c:lblAlgn val="ctr"/>
        <c:lblOffset val="100"/>
        <c:noMultiLvlLbl val="0"/>
      </c:catAx>
      <c:valAx>
        <c:axId val="926906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06048"/>
        <c:crosses val="autoZero"/>
        <c:crossBetween val="between"/>
      </c:valAx>
      <c:spPr>
        <a:noFill/>
        <a:ln>
          <a:noFill/>
        </a:ln>
        <a:effectLst/>
      </c:spPr>
    </c:plotArea>
    <c:legend>
      <c:legendPos val="r"/>
      <c:layout>
        <c:manualLayout>
          <c:xMode val="edge"/>
          <c:yMode val="edge"/>
          <c:x val="0.11117743346597803"/>
          <c:y val="0.12480380035140236"/>
          <c:w val="0.20598210664279992"/>
          <c:h val="0.371903429426693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[project.xlsx]PivotTables!PivotTable15</c:name>
    <c:fmtId val="5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PivotTables!$N$18</c:f>
              <c:strCache>
                <c:ptCount val="1"/>
                <c:pt idx="0">
                  <c:v>Cost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PivotTables!$M$19:$M$31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PivotTables!$N$19:$N$31</c:f>
              <c:numCache>
                <c:formatCode>_("$"* #,##0_);_("$"* \(#,##0\);_("$"* "-"??_);_(@_)</c:formatCode>
                <c:ptCount val="12"/>
                <c:pt idx="0">
                  <c:v>3654507.42</c:v>
                </c:pt>
                <c:pt idx="1">
                  <c:v>2877128.75</c:v>
                </c:pt>
                <c:pt idx="2">
                  <c:v>4896093.99</c:v>
                </c:pt>
                <c:pt idx="3">
                  <c:v>3249594.22</c:v>
                </c:pt>
                <c:pt idx="4">
                  <c:v>2457285.11</c:v>
                </c:pt>
                <c:pt idx="5">
                  <c:v>2818736.83</c:v>
                </c:pt>
                <c:pt idx="6">
                  <c:v>3489728.47</c:v>
                </c:pt>
                <c:pt idx="7">
                  <c:v>3841312.05</c:v>
                </c:pt>
                <c:pt idx="8">
                  <c:v>4078417.75</c:v>
                </c:pt>
                <c:pt idx="9">
                  <c:v>3092392.11</c:v>
                </c:pt>
                <c:pt idx="10">
                  <c:v>3471620.83</c:v>
                </c:pt>
                <c:pt idx="11">
                  <c:v>2909760.07</c:v>
                </c:pt>
              </c:numCache>
            </c:numRef>
          </c:val>
          <c:smooth val="0"/>
          <c:extLst>
            <c:ext xmlns:c16="http://schemas.microsoft.com/office/drawing/2014/chart" uri="{C3380CC4-5D6E-409C-BE32-E72D297353CC}">
              <c16:uniqueId val="{00000006-1B74-4837-A88D-0C8A01065B84}"/>
            </c:ext>
          </c:extLst>
        </c:ser>
        <c:ser>
          <c:idx val="1"/>
          <c:order val="1"/>
          <c:tx>
            <c:strRef>
              <c:f>PivotTables!$O$18</c:f>
              <c:strCache>
                <c:ptCount val="1"/>
                <c:pt idx="0">
                  <c:v>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PivotTables!$M$19:$M$31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PivotTables!$O$19:$O$31</c:f>
              <c:numCache>
                <c:formatCode>_(* #,##0_);_(* \(#,##0\);_(* "-"??_);_(@_)</c:formatCode>
                <c:ptCount val="12"/>
                <c:pt idx="0">
                  <c:v>62671</c:v>
                </c:pt>
                <c:pt idx="1">
                  <c:v>56769</c:v>
                </c:pt>
                <c:pt idx="2">
                  <c:v>89917</c:v>
                </c:pt>
                <c:pt idx="3">
                  <c:v>66833</c:v>
                </c:pt>
                <c:pt idx="4">
                  <c:v>43678</c:v>
                </c:pt>
                <c:pt idx="5">
                  <c:v>54549</c:v>
                </c:pt>
                <c:pt idx="6">
                  <c:v>70745</c:v>
                </c:pt>
                <c:pt idx="7">
                  <c:v>67415</c:v>
                </c:pt>
                <c:pt idx="8">
                  <c:v>71492</c:v>
                </c:pt>
                <c:pt idx="9">
                  <c:v>53001</c:v>
                </c:pt>
                <c:pt idx="10">
                  <c:v>66838</c:v>
                </c:pt>
                <c:pt idx="11">
                  <c:v>54777</c:v>
                </c:pt>
              </c:numCache>
            </c:numRef>
          </c:val>
          <c:smooth val="0"/>
          <c:extLst>
            <c:ext xmlns:c16="http://schemas.microsoft.com/office/drawing/2014/chart" uri="{C3380CC4-5D6E-409C-BE32-E72D297353CC}">
              <c16:uniqueId val="{00000007-1B74-4837-A88D-0C8A01065B84}"/>
            </c:ext>
          </c:extLst>
        </c:ser>
        <c:dLbls>
          <c:showLegendKey val="0"/>
          <c:showVal val="0"/>
          <c:showCatName val="0"/>
          <c:showSerName val="0"/>
          <c:showPercent val="0"/>
          <c:showBubbleSize val="0"/>
        </c:dLbls>
        <c:marker val="1"/>
        <c:smooth val="0"/>
        <c:axId val="928138448"/>
        <c:axId val="928139408"/>
      </c:lineChart>
      <c:catAx>
        <c:axId val="9281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39408"/>
        <c:crosses val="autoZero"/>
        <c:auto val="1"/>
        <c:lblAlgn val="ctr"/>
        <c:lblOffset val="100"/>
        <c:noMultiLvlLbl val="0"/>
      </c:catAx>
      <c:valAx>
        <c:axId val="9281394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38448"/>
        <c:crosses val="autoZero"/>
        <c:crossBetween val="between"/>
      </c:valAx>
      <c:spPr>
        <a:noFill/>
        <a:ln>
          <a:noFill/>
        </a:ln>
        <a:effectLst/>
      </c:spPr>
    </c:plotArea>
    <c:legend>
      <c:legendPos val="r"/>
      <c:layout>
        <c:manualLayout>
          <c:xMode val="edge"/>
          <c:yMode val="edge"/>
          <c:x val="0.61544335083114599"/>
          <c:y val="5.41593759113444E-3"/>
          <c:w val="0.3817788713910761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c:name>
    <c:fmtId val="6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PivotTables!$S$18</c:f>
              <c:strCache>
                <c:ptCount val="1"/>
                <c:pt idx="0">
                  <c:v>Cost</c:v>
                </c:pt>
              </c:strCache>
            </c:strRef>
          </c:tx>
          <c:spPr>
            <a:solidFill>
              <a:schemeClr val="accent1"/>
            </a:solidFill>
            <a:ln>
              <a:noFill/>
            </a:ln>
            <a:effectLst/>
          </c:spPr>
          <c:invertIfNegative val="0"/>
          <c:cat>
            <c:strRef>
              <c:f>PivotTables!$R$19:$R$24</c:f>
              <c:strCache>
                <c:ptCount val="5"/>
                <c:pt idx="0">
                  <c:v>MRO</c:v>
                </c:pt>
                <c:pt idx="1">
                  <c:v>Office Supplies</c:v>
                </c:pt>
                <c:pt idx="2">
                  <c:v>Electronics</c:v>
                </c:pt>
                <c:pt idx="3">
                  <c:v>Packaging</c:v>
                </c:pt>
                <c:pt idx="4">
                  <c:v>Raw Materials</c:v>
                </c:pt>
              </c:strCache>
            </c:strRef>
          </c:cat>
          <c:val>
            <c:numRef>
              <c:f>PivotTables!$S$19:$S$24</c:f>
              <c:numCache>
                <c:formatCode>_("$"* #,##0_);_("$"* \(#,##0\);_("$"* "-"??_);_(@_)</c:formatCode>
                <c:ptCount val="5"/>
                <c:pt idx="0">
                  <c:v>9275000.6799999997</c:v>
                </c:pt>
                <c:pt idx="1">
                  <c:v>8885861.0500000007</c:v>
                </c:pt>
                <c:pt idx="2">
                  <c:v>8068767.4299999997</c:v>
                </c:pt>
                <c:pt idx="3">
                  <c:v>7352527.0499999998</c:v>
                </c:pt>
                <c:pt idx="4">
                  <c:v>7254421.3899999997</c:v>
                </c:pt>
              </c:numCache>
            </c:numRef>
          </c:val>
          <c:extLst>
            <c:ext xmlns:c16="http://schemas.microsoft.com/office/drawing/2014/chart" uri="{C3380CC4-5D6E-409C-BE32-E72D297353CC}">
              <c16:uniqueId val="{00000006-74F5-42AE-A517-CF191E95DC6C}"/>
            </c:ext>
          </c:extLst>
        </c:ser>
        <c:ser>
          <c:idx val="1"/>
          <c:order val="1"/>
          <c:tx>
            <c:strRef>
              <c:f>PivotTables!$T$18</c:f>
              <c:strCache>
                <c:ptCount val="1"/>
                <c:pt idx="0">
                  <c:v>Quantity</c:v>
                </c:pt>
              </c:strCache>
            </c:strRef>
          </c:tx>
          <c:spPr>
            <a:solidFill>
              <a:schemeClr val="accent2"/>
            </a:solidFill>
            <a:ln w="25400">
              <a:noFill/>
            </a:ln>
            <a:effectLst/>
          </c:spPr>
          <c:invertIfNegative val="0"/>
          <c:cat>
            <c:strRef>
              <c:f>PivotTables!$R$19:$R$24</c:f>
              <c:strCache>
                <c:ptCount val="5"/>
                <c:pt idx="0">
                  <c:v>MRO</c:v>
                </c:pt>
                <c:pt idx="1">
                  <c:v>Office Supplies</c:v>
                </c:pt>
                <c:pt idx="2">
                  <c:v>Electronics</c:v>
                </c:pt>
                <c:pt idx="3">
                  <c:v>Packaging</c:v>
                </c:pt>
                <c:pt idx="4">
                  <c:v>Raw Materials</c:v>
                </c:pt>
              </c:strCache>
            </c:strRef>
          </c:cat>
          <c:val>
            <c:numRef>
              <c:f>PivotTables!$T$19:$T$24</c:f>
              <c:numCache>
                <c:formatCode>_(* #,##0_);_(* \(#,##0\);_(* "-"??_);_(@_)</c:formatCode>
                <c:ptCount val="5"/>
                <c:pt idx="0">
                  <c:v>167798</c:v>
                </c:pt>
                <c:pt idx="1">
                  <c:v>159858</c:v>
                </c:pt>
                <c:pt idx="2">
                  <c:v>153387</c:v>
                </c:pt>
                <c:pt idx="3">
                  <c:v>149159</c:v>
                </c:pt>
                <c:pt idx="4">
                  <c:v>128483</c:v>
                </c:pt>
              </c:numCache>
            </c:numRef>
          </c:val>
          <c:extLst>
            <c:ext xmlns:c16="http://schemas.microsoft.com/office/drawing/2014/chart" uri="{C3380CC4-5D6E-409C-BE32-E72D297353CC}">
              <c16:uniqueId val="{00000007-74F5-42AE-A517-CF191E95DC6C}"/>
            </c:ext>
          </c:extLst>
        </c:ser>
        <c:dLbls>
          <c:showLegendKey val="0"/>
          <c:showVal val="0"/>
          <c:showCatName val="0"/>
          <c:showSerName val="0"/>
          <c:showPercent val="0"/>
          <c:showBubbleSize val="0"/>
        </c:dLbls>
        <c:gapWidth val="219"/>
        <c:axId val="1615318208"/>
        <c:axId val="1615314848"/>
      </c:barChart>
      <c:catAx>
        <c:axId val="161531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4848"/>
        <c:crosses val="autoZero"/>
        <c:auto val="1"/>
        <c:lblAlgn val="ctr"/>
        <c:lblOffset val="100"/>
        <c:noMultiLvlLbl val="0"/>
      </c:catAx>
      <c:valAx>
        <c:axId val="16153148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[project.xlsx]PivotTables!PivotTable2</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lumMod val="50000"/>
                  </a:schemeClr>
                </a:solidFill>
              </a:rPr>
              <a:t>Cost Spent</a:t>
            </a:r>
            <a:r>
              <a:rPr lang="en-US" sz="1400" b="1" baseline="0">
                <a:solidFill>
                  <a:schemeClr val="accent2">
                    <a:lumMod val="50000"/>
                  </a:schemeClr>
                </a:solidFill>
              </a:rPr>
              <a:t> by Year</a:t>
            </a:r>
            <a:endParaRPr lang="en-US" sz="1400" b="1">
              <a:solidFill>
                <a:schemeClr val="accent2">
                  <a:lumMod val="50000"/>
                </a:schemeClr>
              </a:solidFill>
            </a:endParaRPr>
          </a:p>
        </c:rich>
      </c:tx>
      <c:layout>
        <c:manualLayout>
          <c:xMode val="edge"/>
          <c:yMode val="edge"/>
          <c:x val="2.7379131605639619E-2"/>
          <c:y val="1.7902814500997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PivotTables!$AA$18:$AA$19</c:f>
              <c:strCache>
                <c:ptCount val="1"/>
                <c:pt idx="0">
                  <c:v>2022</c:v>
                </c:pt>
              </c:strCache>
            </c:strRef>
          </c:tx>
          <c:spPr>
            <a:solidFill>
              <a:schemeClr val="accent6"/>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PivotTables!$Z$20</c:f>
              <c:strCache>
                <c:ptCount val="1"/>
                <c:pt idx="0">
                  <c:v>Total</c:v>
                </c:pt>
              </c:strCache>
            </c:strRef>
          </c:cat>
          <c:val>
            <c:numRef>
              <c:f>PivotTables!$AA$20</c:f>
              <c:numCache>
                <c:formatCode>0.00%</c:formatCode>
                <c:ptCount val="1"/>
                <c:pt idx="0">
                  <c:v>0.46124895196898186</c:v>
                </c:pt>
              </c:numCache>
            </c:numRef>
          </c:val>
          <c:extLst>
            <c:ext xmlns:c16="http://schemas.microsoft.com/office/drawing/2014/chart" uri="{C3380CC4-5D6E-409C-BE32-E72D297353CC}">
              <c16:uniqueId val="{0000000F-D2EB-49E3-975D-BF4142AEDEF5}"/>
            </c:ext>
          </c:extLst>
        </c:ser>
        <c:ser>
          <c:idx val="1"/>
          <c:order val="1"/>
          <c:tx>
            <c:strRef>
              <c:f>PivotTables!$AB$18:$AB$19</c:f>
              <c:strCache>
                <c:ptCount val="1"/>
                <c:pt idx="0">
                  <c:v>2023</c:v>
                </c:pt>
              </c:strCache>
            </c:strRef>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PivotTables!$Z$20</c:f>
              <c:strCache>
                <c:ptCount val="1"/>
                <c:pt idx="0">
                  <c:v>Total</c:v>
                </c:pt>
              </c:strCache>
            </c:strRef>
          </c:cat>
          <c:val>
            <c:numRef>
              <c:f>PivotTables!$AB$20</c:f>
              <c:numCache>
                <c:formatCode>0.00%</c:formatCode>
                <c:ptCount val="1"/>
                <c:pt idx="0">
                  <c:v>0.53691700893171812</c:v>
                </c:pt>
              </c:numCache>
            </c:numRef>
          </c:val>
          <c:extLst>
            <c:ext xmlns:c16="http://schemas.microsoft.com/office/drawing/2014/chart" uri="{C3380CC4-5D6E-409C-BE32-E72D297353CC}">
              <c16:uniqueId val="{00000008-0E60-4584-AF54-EBEAFE1D2827}"/>
            </c:ext>
          </c:extLst>
        </c:ser>
        <c:ser>
          <c:idx val="2"/>
          <c:order val="2"/>
          <c:tx>
            <c:strRef>
              <c:f>PivotTables!$AC$18:$AC$19</c:f>
              <c:strCache>
                <c:ptCount val="1"/>
                <c:pt idx="0">
                  <c:v>2024</c:v>
                </c:pt>
              </c:strCache>
            </c:strRef>
          </c:tx>
          <c:spPr>
            <a:solidFill>
              <a:srgbClr val="FFC000"/>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PivotTables!$Z$20</c:f>
              <c:strCache>
                <c:ptCount val="1"/>
                <c:pt idx="0">
                  <c:v>Total</c:v>
                </c:pt>
              </c:strCache>
            </c:strRef>
          </c:cat>
          <c:val>
            <c:numRef>
              <c:f>PivotTables!$AC$20</c:f>
              <c:numCache>
                <c:formatCode>0.00%</c:formatCode>
                <c:ptCount val="1"/>
                <c:pt idx="0">
                  <c:v>1.8340390993000354E-3</c:v>
                </c:pt>
              </c:numCache>
            </c:numRef>
          </c:val>
          <c:extLst>
            <c:ext xmlns:c16="http://schemas.microsoft.com/office/drawing/2014/chart" uri="{C3380CC4-5D6E-409C-BE32-E72D297353CC}">
              <c16:uniqueId val="{00000009-0E60-4584-AF54-EBEAFE1D2827}"/>
            </c:ext>
          </c:extLst>
        </c:ser>
        <c:dLbls>
          <c:dLblPos val="ctr"/>
          <c:showLegendKey val="0"/>
          <c:showVal val="1"/>
          <c:showCatName val="0"/>
          <c:showSerName val="0"/>
          <c:showPercent val="0"/>
          <c:showBubbleSize val="0"/>
        </c:dLbls>
        <c:gapWidth val="250"/>
        <c:overlap val="100"/>
        <c:axId val="694433487"/>
        <c:axId val="694425327"/>
      </c:barChart>
      <c:catAx>
        <c:axId val="694433487"/>
        <c:scaling>
          <c:orientation val="minMax"/>
        </c:scaling>
        <c:delete val="1"/>
        <c:axPos val="l"/>
        <c:numFmt formatCode="General" sourceLinked="1"/>
        <c:majorTickMark val="none"/>
        <c:minorTickMark val="none"/>
        <c:tickLblPos val="nextTo"/>
        <c:crossAx val="694425327"/>
        <c:crosses val="autoZero"/>
        <c:auto val="1"/>
        <c:lblAlgn val="ctr"/>
        <c:lblOffset val="100"/>
        <c:noMultiLvlLbl val="0"/>
      </c:catAx>
      <c:valAx>
        <c:axId val="69442532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4433487"/>
        <c:crosses val="autoZero"/>
        <c:crossBetween val="between"/>
      </c:valAx>
      <c:spPr>
        <a:noFill/>
        <a:ln>
          <a:noFill/>
        </a:ln>
        <a:effectLst/>
      </c:spPr>
    </c:plotArea>
    <c:legend>
      <c:legendPos val="r"/>
      <c:layout>
        <c:manualLayout>
          <c:xMode val="edge"/>
          <c:yMode val="edge"/>
          <c:x val="0.57979359829723764"/>
          <c:y val="3.9006130382524477E-2"/>
          <c:w val="0.11359286813952353"/>
          <c:h val="0.14540359923333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[project.xlsx]PivotTables!PivotTable3</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PivotTables!$C$64</c:f>
              <c:strCache>
                <c:ptCount val="1"/>
                <c:pt idx="0">
                  <c:v>Total</c:v>
                </c:pt>
              </c:strCache>
            </c:strRef>
          </c:tx>
          <c:spPr>
            <a:solidFill>
              <a:schemeClr val="accent1"/>
            </a:solidFill>
            <a:ln>
              <a:noFill/>
            </a:ln>
            <a:effectLst/>
          </c:spPr>
          <c:invertIfNegative val="0"/>
          <c:cat>
            <c:strRef>
              <c:f>PivotTables!$B$65:$B$70</c:f>
              <c:strCache>
                <c:ptCount val="5"/>
                <c:pt idx="0">
                  <c:v>Gamma_Co</c:v>
                </c:pt>
                <c:pt idx="1">
                  <c:v>Alpha_Inc</c:v>
                </c:pt>
                <c:pt idx="2">
                  <c:v>Delta_Logistics</c:v>
                </c:pt>
                <c:pt idx="3">
                  <c:v>Epsilon_Group</c:v>
                </c:pt>
                <c:pt idx="4">
                  <c:v>Beta_Supplies</c:v>
                </c:pt>
              </c:strCache>
            </c:strRef>
          </c:cat>
          <c:val>
            <c:numRef>
              <c:f>PivotTables!$C$65:$C$70</c:f>
              <c:numCache>
                <c:formatCode>0.0</c:formatCode>
                <c:ptCount val="5"/>
                <c:pt idx="0">
                  <c:v>10.192307692307692</c:v>
                </c:pt>
                <c:pt idx="1">
                  <c:v>10.606837606837606</c:v>
                </c:pt>
                <c:pt idx="2">
                  <c:v>10.85430463576159</c:v>
                </c:pt>
                <c:pt idx="3">
                  <c:v>10.865771812080537</c:v>
                </c:pt>
                <c:pt idx="4">
                  <c:v>11.272727272727273</c:v>
                </c:pt>
              </c:numCache>
            </c:numRef>
          </c:val>
          <c:extLst>
            <c:ext xmlns:c16="http://schemas.microsoft.com/office/drawing/2014/chart" uri="{C3380CC4-5D6E-409C-BE32-E72D297353CC}">
              <c16:uniqueId val="{00000005-F6E2-4816-8F0C-7B9199D0C7C9}"/>
            </c:ext>
          </c:extLst>
        </c:ser>
        <c:dLbls>
          <c:showLegendKey val="0"/>
          <c:showVal val="0"/>
          <c:showCatName val="0"/>
          <c:showSerName val="0"/>
          <c:showPercent val="0"/>
          <c:showBubbleSize val="0"/>
        </c:dLbls>
        <c:gapWidth val="219"/>
        <c:overlap val="-27"/>
        <c:axId val="717580751"/>
        <c:axId val="717578351"/>
      </c:barChart>
      <c:catAx>
        <c:axId val="71758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78351"/>
        <c:crosses val="autoZero"/>
        <c:auto val="1"/>
        <c:lblAlgn val="ctr"/>
        <c:lblOffset val="100"/>
        <c:noMultiLvlLbl val="0"/>
      </c:catAx>
      <c:valAx>
        <c:axId val="717578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8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[project.xlsx]PivotTables!PivotTable16</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PivotTables!$F$64</c:f>
              <c:strCache>
                <c:ptCount val="1"/>
                <c:pt idx="0">
                  <c:v>Total</c:v>
                </c:pt>
              </c:strCache>
            </c:strRef>
          </c:tx>
          <c:spPr>
            <a:solidFill>
              <a:schemeClr val="accent1"/>
            </a:solidFill>
            <a:ln>
              <a:noFill/>
            </a:ln>
            <a:effectLst/>
          </c:spPr>
          <c:invertIfNegative val="0"/>
          <c:cat>
            <c:strRef>
              <c:f>PivotTables!$E$65:$E$70</c:f>
              <c:strCache>
                <c:ptCount val="5"/>
                <c:pt idx="0">
                  <c:v>Alpha_Inc</c:v>
                </c:pt>
                <c:pt idx="1">
                  <c:v>Beta_Supplies</c:v>
                </c:pt>
                <c:pt idx="2">
                  <c:v>Epsilon_Group</c:v>
                </c:pt>
                <c:pt idx="3">
                  <c:v>Gamma_Co</c:v>
                </c:pt>
                <c:pt idx="4">
                  <c:v>Delta_Logistics</c:v>
                </c:pt>
              </c:strCache>
            </c:strRef>
          </c:cat>
          <c:val>
            <c:numRef>
              <c:f>PivotTables!$F$65:$F$70</c:f>
              <c:numCache>
                <c:formatCode>0.00%</c:formatCode>
                <c:ptCount val="5"/>
                <c:pt idx="0">
                  <c:v>8.14284307110682E-2</c:v>
                </c:pt>
                <c:pt idx="1">
                  <c:v>7.9612013596784159E-2</c:v>
                </c:pt>
                <c:pt idx="2">
                  <c:v>7.930440592935456E-2</c:v>
                </c:pt>
                <c:pt idx="3">
                  <c:v>7.8952471899457838E-2</c:v>
                </c:pt>
                <c:pt idx="4">
                  <c:v>7.8132314678336187E-2</c:v>
                </c:pt>
              </c:numCache>
            </c:numRef>
          </c:val>
          <c:extLst>
            <c:ext xmlns:c16="http://schemas.microsoft.com/office/drawing/2014/chart" uri="{C3380CC4-5D6E-409C-BE32-E72D297353CC}">
              <c16:uniqueId val="{00000005-544B-4932-BF1E-74B13B7E67B0}"/>
            </c:ext>
          </c:extLst>
        </c:ser>
        <c:dLbls>
          <c:showLegendKey val="0"/>
          <c:showVal val="0"/>
          <c:showCatName val="0"/>
          <c:showSerName val="0"/>
          <c:showPercent val="0"/>
          <c:showBubbleSize val="0"/>
        </c:dLbls>
        <c:gapWidth val="182"/>
        <c:axId val="967449231"/>
        <c:axId val="967452111"/>
      </c:barChart>
      <c:catAx>
        <c:axId val="96744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452111"/>
        <c:crosses val="autoZero"/>
        <c:auto val="1"/>
        <c:lblAlgn val="ctr"/>
        <c:lblOffset val="100"/>
        <c:noMultiLvlLbl val="0"/>
      </c:catAx>
      <c:valAx>
        <c:axId val="9674521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44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[project.xlsx]PivotTables!PivotTable18</c:name>
    <c:fmtId val="5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PivotTables!$O$64:$O$65</c:f>
              <c:strCache>
                <c:ptCount val="1"/>
                <c:pt idx="0">
                  <c:v>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PivotTables!$O$66:$O$71</c:f>
              <c:numCache>
                <c:formatCode>0.00%</c:formatCode>
                <c:ptCount val="5"/>
                <c:pt idx="0">
                  <c:v>0.2225866945591157</c:v>
                </c:pt>
                <c:pt idx="1">
                  <c:v>0.19563426035971793</c:v>
                </c:pt>
                <c:pt idx="2">
                  <c:v>0.20468320922292868</c:v>
                </c:pt>
                <c:pt idx="3">
                  <c:v>0.20619680490718958</c:v>
                </c:pt>
                <c:pt idx="4">
                  <c:v>0.17812780910353845</c:v>
                </c:pt>
              </c:numCache>
            </c:numRef>
          </c:val>
          <c:extLst>
            <c:ext xmlns:c16="http://schemas.microsoft.com/office/drawing/2014/chart" uri="{C3380CC4-5D6E-409C-BE32-E72D297353CC}">
              <c16:uniqueId val="{0000001D-0FCC-4075-8BAB-4316294D8FF1}"/>
            </c:ext>
          </c:extLst>
        </c:ser>
        <c:ser>
          <c:idx val="1"/>
          <c:order val="1"/>
          <c:tx>
            <c:strRef>
              <c:f>PivotTables!$P$64:$P$65</c:f>
              <c:strCache>
                <c:ptCount val="1"/>
                <c:pt idx="0">
                  <c:v>MRO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PivotTables!$P$66:$P$71</c:f>
              <c:numCache>
                <c:formatCode>0.00%</c:formatCode>
                <c:ptCount val="5"/>
                <c:pt idx="0">
                  <c:v>0.17379141316927951</c:v>
                </c:pt>
                <c:pt idx="1">
                  <c:v>0.26875049520640204</c:v>
                </c:pt>
                <c:pt idx="2">
                  <c:v>0.17074045669330298</c:v>
                </c:pt>
                <c:pt idx="3">
                  <c:v>0.24061118159311221</c:v>
                </c:pt>
                <c:pt idx="4">
                  <c:v>0.26643240445642996</c:v>
                </c:pt>
              </c:numCache>
            </c:numRef>
          </c:val>
          <c:extLst>
            <c:ext xmlns:c16="http://schemas.microsoft.com/office/drawing/2014/chart" uri="{C3380CC4-5D6E-409C-BE32-E72D297353CC}">
              <c16:uniqueId val="{00000005-808C-4798-8FB2-3B10E5B30959}"/>
            </c:ext>
          </c:extLst>
        </c:ser>
        <c:ser>
          <c:idx val="2"/>
          <c:order val="2"/>
          <c:tx>
            <c:strRef>
              <c:f>PivotTables!$Q$64:$Q$65</c:f>
              <c:strCache>
                <c:ptCount val="1"/>
                <c:pt idx="0">
                  <c:v>Office Supplies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PivotTables!$Q$66:$Q$71</c:f>
              <c:numCache>
                <c:formatCode>0.00%</c:formatCode>
                <c:ptCount val="5"/>
                <c:pt idx="0">
                  <c:v>0.20384593960624608</c:v>
                </c:pt>
                <c:pt idx="1">
                  <c:v>0.24760320101418271</c:v>
                </c:pt>
                <c:pt idx="2">
                  <c:v>0.25246777665075087</c:v>
                </c:pt>
                <c:pt idx="3">
                  <c:v>0.20807518445071255</c:v>
                </c:pt>
                <c:pt idx="4">
                  <c:v>0.14345836397809922</c:v>
                </c:pt>
              </c:numCache>
            </c:numRef>
          </c:val>
          <c:extLst>
            <c:ext xmlns:c16="http://schemas.microsoft.com/office/drawing/2014/chart" uri="{C3380CC4-5D6E-409C-BE32-E72D297353CC}">
              <c16:uniqueId val="{00000006-808C-4798-8FB2-3B10E5B30959}"/>
            </c:ext>
          </c:extLst>
        </c:ser>
        <c:ser>
          <c:idx val="3"/>
          <c:order val="3"/>
          <c:tx>
            <c:strRef>
              <c:f>PivotTables!$R$64:$R$65</c:f>
              <c:strCache>
                <c:ptCount val="1"/>
                <c:pt idx="0">
                  <c:v>Packaging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PivotTables!$R$66:$R$71</c:f>
              <c:numCache>
                <c:formatCode>0.00%</c:formatCode>
                <c:ptCount val="5"/>
                <c:pt idx="0">
                  <c:v>0.19167806502324028</c:v>
                </c:pt>
                <c:pt idx="1">
                  <c:v>0.20816100150542746</c:v>
                </c:pt>
                <c:pt idx="2">
                  <c:v>0.17682640211771108</c:v>
                </c:pt>
                <c:pt idx="3">
                  <c:v>0.19517287250421866</c:v>
                </c:pt>
                <c:pt idx="4">
                  <c:v>0.21543951404211273</c:v>
                </c:pt>
              </c:numCache>
            </c:numRef>
          </c:val>
          <c:extLst>
            <c:ext xmlns:c16="http://schemas.microsoft.com/office/drawing/2014/chart" uri="{C3380CC4-5D6E-409C-BE32-E72D297353CC}">
              <c16:uniqueId val="{00000007-808C-4798-8FB2-3B10E5B30959}"/>
            </c:ext>
          </c:extLst>
        </c:ser>
        <c:ser>
          <c:idx val="4"/>
          <c:order val="4"/>
          <c:tx>
            <c:strRef>
              <c:f>PivotTables!$S$64:$S$65</c:f>
              <c:strCache>
                <c:ptCount val="1"/>
                <c:pt idx="0">
                  <c:v>Raw Materials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PivotTables!$S$66:$S$71</c:f>
              <c:numCache>
                <c:formatCode>0.00%</c:formatCode>
                <c:ptCount val="5"/>
                <c:pt idx="0">
                  <c:v>0.20809788764211842</c:v>
                </c:pt>
                <c:pt idx="1">
                  <c:v>7.9851041914269866E-2</c:v>
                </c:pt>
                <c:pt idx="2">
                  <c:v>0.1952821553153064</c:v>
                </c:pt>
                <c:pt idx="3">
                  <c:v>0.14994395654476703</c:v>
                </c:pt>
                <c:pt idx="4">
                  <c:v>0.19654190841981967</c:v>
                </c:pt>
              </c:numCache>
            </c:numRef>
          </c:val>
          <c:extLst>
            <c:ext xmlns:c16="http://schemas.microsoft.com/office/drawing/2014/chart" uri="{C3380CC4-5D6E-409C-BE32-E72D297353CC}">
              <c16:uniqueId val="{00000008-808C-4798-8FB2-3B10E5B30959}"/>
            </c:ext>
          </c:extLst>
        </c:ser>
        <c:dLbls>
          <c:dLblPos val="ctr"/>
          <c:showLegendKey val="0"/>
          <c:showVal val="1"/>
          <c:showCatName val="0"/>
          <c:showSerName val="0"/>
          <c:showPercent val="0"/>
          <c:showBubbleSize val="0"/>
        </c:dLbls>
        <c:gapWidth val="150"/>
        <c:overlap val="100"/>
        <c:axId val="984797359"/>
        <c:axId val="984798319"/>
      </c:barChart>
      <c:catAx>
        <c:axId val="98479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98319"/>
        <c:crosses val="autoZero"/>
        <c:auto val="1"/>
        <c:lblAlgn val="ctr"/>
        <c:lblOffset val="100"/>
        <c:noMultiLvlLbl val="0"/>
      </c:catAx>
      <c:valAx>
        <c:axId val="9847983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9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[project.xlsx]PivotTables!PivotTable13</c:name>
    <c:fmtId val="31"/>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rPr>
              <a:t>Order</a:t>
            </a:r>
            <a:r>
              <a:rPr lang="en-US" b="1" baseline="0">
                <a:solidFill>
                  <a:schemeClr val="accent2">
                    <a:lumMod val="50000"/>
                  </a:schemeClr>
                </a:solidFill>
              </a:rPr>
              <a:t>s by Status</a:t>
            </a:r>
          </a:p>
        </c:rich>
      </c:tx>
      <c:layout>
        <c:manualLayout>
          <c:xMode val="edge"/>
          <c:yMode val="edge"/>
          <c:x val="2.5288526816021731E-2"/>
          <c:y val="2.7375832457031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noFill/>
          </a:ln>
          <a:effectLst>
            <a:outerShdw blurRad="50800" dist="38100" dir="2700000" algn="tl" rotWithShape="0">
              <a:prstClr val="black">
                <a:alpha val="40000"/>
              </a:prstClr>
            </a:outerShdw>
          </a:effectLst>
        </c:spPr>
      </c:pivotFmt>
      <c:pivotFmt>
        <c:idx val="4"/>
        <c:spPr>
          <a:solidFill>
            <a:schemeClr val="accent1"/>
          </a:solidFill>
          <a:ln w="19050">
            <a:noFill/>
          </a:ln>
          <a:effectLst>
            <a:outerShdw blurRad="50800" dist="38100" dir="2700000" algn="tl" rotWithShape="0">
              <a:prstClr val="black">
                <a:alpha val="40000"/>
              </a:prstClr>
            </a:outerShdw>
          </a:effectLst>
        </c:spPr>
      </c:pivotFmt>
      <c:pivotFmt>
        <c:idx val="5"/>
        <c:spPr>
          <a:solidFill>
            <a:schemeClr val="accent1"/>
          </a:solidFill>
          <a:ln w="19050">
            <a:noFill/>
          </a:ln>
          <a:effectLst>
            <a:outerShdw blurRad="50800" dist="38100" dir="2700000" algn="tl" rotWithShape="0">
              <a:prstClr val="black">
                <a:alpha val="40000"/>
              </a:prstClr>
            </a:outerShdw>
          </a:effectLst>
        </c:spPr>
      </c:pivotFmt>
      <c:pivotFmt>
        <c:idx val="6"/>
        <c:spPr>
          <a:solidFill>
            <a:schemeClr val="accent1"/>
          </a:solidFill>
          <a:ln w="19050">
            <a:noFill/>
          </a:ln>
          <a:effectLst>
            <a:outerShdw blurRad="50800" dist="38100" dir="2700000" algn="tl" rotWithShape="0">
              <a:prstClr val="black">
                <a:alpha val="40000"/>
              </a:prstClr>
            </a:outerShdw>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tx1"/>
            </a:solidFill>
          </a:ln>
          <a:effectLst>
            <a:outerShdw blurRad="50800" dist="38100" dir="2700000" algn="tl" rotWithShape="0">
              <a:prstClr val="black">
                <a:alpha val="40000"/>
              </a:prst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bg1">
              <a:lumMod val="65000"/>
            </a:schemeClr>
          </a:solidFill>
          <a:ln w="19050">
            <a:solidFill>
              <a:schemeClr val="bg2">
                <a:lumMod val="50000"/>
              </a:schemeClr>
            </a:solidFill>
          </a:ln>
          <a:effectLst>
            <a:outerShdw blurRad="50800" dist="38100" dir="2700000" algn="tl" rotWithShape="0">
              <a:prstClr val="black">
                <a:alpha val="40000"/>
              </a:prstClr>
            </a:outerShdw>
          </a:effectLst>
        </c:spPr>
        <c:dLbl>
          <c:idx val="0"/>
          <c:layout>
            <c:manualLayout>
              <c:x val="8.4860828241683645E-2"/>
              <c:y val="-1.3850415512465374E-2"/>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9390"/>
                    <a:gd name="adj2" fmla="val -103062"/>
                  </a:avLst>
                </a:prstGeom>
                <a:noFill/>
                <a:ln>
                  <a:noFill/>
                </a:ln>
              </c15:spPr>
            </c:ext>
          </c:extLst>
        </c:dLbl>
      </c:pivotFmt>
      <c:pivotFmt>
        <c:idx val="14"/>
        <c:spPr>
          <a:solidFill>
            <a:schemeClr val="accent1"/>
          </a:solidFill>
          <a:ln w="19050">
            <a:solidFill>
              <a:schemeClr val="accent2">
                <a:lumMod val="75000"/>
              </a:schemeClr>
            </a:solidFill>
          </a:ln>
          <a:effectLst>
            <a:outerShdw blurRad="50800" dist="38100" dir="2700000" algn="tl" rotWithShape="0">
              <a:prstClr val="black">
                <a:alpha val="40000"/>
              </a:prstClr>
            </a:outerShdw>
          </a:effectLst>
        </c:spPr>
      </c:pivotFmt>
      <c:pivotFmt>
        <c:idx val="15"/>
        <c:spPr>
          <a:solidFill>
            <a:schemeClr val="accent6"/>
          </a:solidFill>
          <a:ln w="19050">
            <a:solidFill>
              <a:schemeClr val="accent6">
                <a:lumMod val="75000"/>
              </a:schemeClr>
            </a:solidFill>
          </a:ln>
          <a:effectLst>
            <a:outerShdw blurRad="50800" dist="38100" dir="2700000" algn="tl" rotWithShape="0">
              <a:prstClr val="black">
                <a:alpha val="40000"/>
              </a:prstClr>
            </a:outerShdw>
          </a:effectLst>
        </c:spPr>
        <c:dLbl>
          <c:idx val="0"/>
          <c:layout>
            <c:manualLayout>
              <c:x val="-8.8509175660578063E-3"/>
              <c:y val="-0.18863888582517477"/>
            </c:manualLayout>
          </c:layout>
          <c:spPr>
            <a:xfrm>
              <a:off x="2443640" y="698037"/>
              <a:ext cx="1158079" cy="466562"/>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66"/>
                    <a:gd name="adj2" fmla="val 127156"/>
                  </a:avLst>
                </a:prstGeom>
                <a:noFill/>
                <a:ln>
                  <a:noFill/>
                </a:ln>
              </c15:spPr>
              <c15:layout>
                <c:manualLayout>
                  <c:w val="0.30952926963559291"/>
                  <c:h val="0.16761841394773516"/>
                </c:manualLayout>
              </c15:layout>
            </c:ext>
          </c:extLst>
        </c:dLbl>
      </c:pivotFmt>
      <c:pivotFmt>
        <c:idx val="16"/>
        <c:spPr>
          <a:solidFill>
            <a:schemeClr val="accent1"/>
          </a:solidFill>
          <a:ln w="19050">
            <a:solidFill>
              <a:schemeClr val="accent4">
                <a:lumMod val="75000"/>
              </a:schemeClr>
            </a:solidFill>
          </a:ln>
          <a:effectLst>
            <a:outerShdw blurRad="50800" dist="38100" dir="2700000" algn="tl" rotWithShape="0">
              <a:prstClr val="black">
                <a:alpha val="40000"/>
              </a:prstClr>
            </a:outerShdw>
          </a:effectLst>
        </c:spPr>
        <c:dLbl>
          <c:idx val="0"/>
          <c:layout>
            <c:manualLayout>
              <c:x val="0.11201629327902228"/>
              <c:y val="-0.11080332409972299"/>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2365"/>
                    <a:gd name="adj2" fmla="val 5677"/>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15598061698499499"/>
          <c:y val="0.20312488639751056"/>
          <c:w val="0.49116191178750312"/>
          <c:h val="0.66803462240350153"/>
        </c:manualLayout>
      </c:layout>
      <c:pieChart>
        <c:varyColors val="1"/>
        <c:ser>
          <c:idx val="0"/>
          <c:order val="0"/>
          <c:tx>
            <c:strRef>
              <c:f>PivotTables!$C$18</c:f>
              <c:strCache>
                <c:ptCount val="1"/>
                <c:pt idx="0">
                  <c:v>Count</c:v>
                </c:pt>
              </c:strCache>
            </c:strRef>
          </c:tx>
          <c:spPr>
            <a:ln>
              <a:solidFill>
                <a:schemeClr val="tx1"/>
              </a:solidFill>
            </a:ln>
            <a:effectLst>
              <a:outerShdw blurRad="50800" dist="38100" dir="2700000" algn="tl" rotWithShape="0">
                <a:prstClr val="black">
                  <a:alpha val="40000"/>
                </a:prstClr>
              </a:outerShdw>
            </a:effectLst>
          </c:spPr>
          <c:explosion val="5"/>
          <c:dPt>
            <c:idx val="0"/>
            <c:bubble3D val="0"/>
            <c:spPr>
              <a:solidFill>
                <a:schemeClr val="bg1">
                  <a:lumMod val="65000"/>
                </a:schemeClr>
              </a:solidFill>
              <a:ln w="19050">
                <a:solidFill>
                  <a:schemeClr val="bg2">
                    <a:lumMod val="5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B2F-4AE8-9BAB-12EED5FE3DCE}"/>
              </c:ext>
            </c:extLst>
          </c:dPt>
          <c:dPt>
            <c:idx val="1"/>
            <c:bubble3D val="0"/>
            <c:spPr>
              <a:solidFill>
                <a:schemeClr val="accent2"/>
              </a:solidFill>
              <a:ln w="19050">
                <a:solidFill>
                  <a:schemeClr val="accent2">
                    <a:lumMod val="7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B2F-4AE8-9BAB-12EED5FE3DCE}"/>
              </c:ext>
            </c:extLst>
          </c:dPt>
          <c:dPt>
            <c:idx val="2"/>
            <c:bubble3D val="0"/>
            <c:spPr>
              <a:solidFill>
                <a:schemeClr val="accent6"/>
              </a:solidFill>
              <a:ln w="19050">
                <a:solidFill>
                  <a:schemeClr val="accent6">
                    <a:lumMod val="7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B2F-4AE8-9BAB-12EED5FE3DCE}"/>
              </c:ext>
            </c:extLst>
          </c:dPt>
          <c:dPt>
            <c:idx val="3"/>
            <c:bubble3D val="0"/>
            <c:spPr>
              <a:solidFill>
                <a:schemeClr val="accent4"/>
              </a:solidFill>
              <a:ln w="19050">
                <a:solidFill>
                  <a:schemeClr val="accent4">
                    <a:lumMod val="7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B2F-4AE8-9BAB-12EED5FE3DCE}"/>
              </c:ext>
            </c:extLst>
          </c:dPt>
          <c:dLbls>
            <c:dLbl>
              <c:idx val="0"/>
              <c:layout>
                <c:manualLayout>
                  <c:x val="8.4860828241683645E-2"/>
                  <c:y val="-1.3850415512465374E-2"/>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9390"/>
                        <a:gd name="adj2" fmla="val -103062"/>
                      </a:avLst>
                    </a:prstGeom>
                    <a:noFill/>
                    <a:ln>
                      <a:noFill/>
                    </a:ln>
                  </c15:spPr>
                </c:ext>
                <c:ext xmlns:c16="http://schemas.microsoft.com/office/drawing/2014/chart" uri="{C3380CC4-5D6E-409C-BE32-E72D297353CC}">
                  <c16:uniqueId val="{00000001-CB2F-4AE8-9BAB-12EED5FE3DCE}"/>
                </c:ext>
              </c:extLst>
            </c:dLbl>
            <c:dLbl>
              <c:idx val="2"/>
              <c:layout>
                <c:manualLayout>
                  <c:x val="-8.8509175660578063E-3"/>
                  <c:y val="-0.18863888582517477"/>
                </c:manualLayout>
              </c:layout>
              <c:spPr>
                <a:xfrm>
                  <a:off x="2443640" y="698037"/>
                  <a:ext cx="1158079" cy="466562"/>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66"/>
                        <a:gd name="adj2" fmla="val 127156"/>
                      </a:avLst>
                    </a:prstGeom>
                    <a:noFill/>
                    <a:ln>
                      <a:noFill/>
                    </a:ln>
                  </c15:spPr>
                  <c15:layout>
                    <c:manualLayout>
                      <c:w val="0.30952926963559291"/>
                      <c:h val="0.16761841394773516"/>
                    </c:manualLayout>
                  </c15:layout>
                </c:ext>
                <c:ext xmlns:c16="http://schemas.microsoft.com/office/drawing/2014/chart" uri="{C3380CC4-5D6E-409C-BE32-E72D297353CC}">
                  <c16:uniqueId val="{00000005-CB2F-4AE8-9BAB-12EED5FE3DCE}"/>
                </c:ext>
              </c:extLst>
            </c:dLbl>
            <c:dLbl>
              <c:idx val="3"/>
              <c:layout>
                <c:manualLayout>
                  <c:x val="0.11201629327902228"/>
                  <c:y val="-0.11080332409972299"/>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2365"/>
                        <a:gd name="adj2" fmla="val 5677"/>
                      </a:avLst>
                    </a:prstGeom>
                    <a:noFill/>
                    <a:ln>
                      <a:noFill/>
                    </a:ln>
                  </c15:spPr>
                </c:ext>
                <c:ext xmlns:c16="http://schemas.microsoft.com/office/drawing/2014/chart" uri="{C3380CC4-5D6E-409C-BE32-E72D297353CC}">
                  <c16:uniqueId val="{00000007-CB2F-4AE8-9BAB-12EED5FE3DCE}"/>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PivotTables!$B$19:$B$23</c:f>
              <c:strCache>
                <c:ptCount val="4"/>
                <c:pt idx="0">
                  <c:v>Cancelled</c:v>
                </c:pt>
                <c:pt idx="1">
                  <c:v>Delivered</c:v>
                </c:pt>
                <c:pt idx="2">
                  <c:v>Partially Delivered</c:v>
                </c:pt>
                <c:pt idx="3">
                  <c:v>Pending</c:v>
                </c:pt>
              </c:strCache>
            </c:strRef>
          </c:cat>
          <c:val>
            <c:numRef>
              <c:f>PivotTables!$C$19:$C$23</c:f>
              <c:numCache>
                <c:formatCode>0</c:formatCode>
                <c:ptCount val="4"/>
                <c:pt idx="0">
                  <c:v>55</c:v>
                </c:pt>
                <c:pt idx="1">
                  <c:v>492</c:v>
                </c:pt>
                <c:pt idx="2">
                  <c:v>68</c:v>
                </c:pt>
                <c:pt idx="3">
                  <c:v>75</c:v>
                </c:pt>
              </c:numCache>
            </c:numRef>
          </c:val>
          <c:extLst>
            <c:ext xmlns:c16="http://schemas.microsoft.com/office/drawing/2014/chart" uri="{C3380CC4-5D6E-409C-BE32-E72D297353CC}">
              <c16:uniqueId val="{00000017-41E4-4AE1-B8E9-FAB2EFC1BCDF}"/>
            </c:ext>
          </c:extLst>
        </c:ser>
        <c:ser>
          <c:idx val="1"/>
          <c:order val="1"/>
          <c:tx>
            <c:strRef>
              <c:f>PivotTables!$D$18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B2F-4AE8-9BAB-12EED5FE3D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B2F-4AE8-9BAB-12EED5FE3D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B2F-4AE8-9BAB-12EED5FE3D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B2F-4AE8-9BAB-12EED5FE3D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PivotTables!$B$19:$B$23</c:f>
              <c:strCache>
                <c:ptCount val="4"/>
                <c:pt idx="0">
                  <c:v>Cancelled</c:v>
                </c:pt>
                <c:pt idx="1">
                  <c:v>Delivered</c:v>
                </c:pt>
                <c:pt idx="2">
                  <c:v>Partially Delivered</c:v>
                </c:pt>
                <c:pt idx="3">
                  <c:v>Pending</c:v>
                </c:pt>
              </c:strCache>
            </c:strRef>
          </c:cat>
          <c:val>
            <c:numRef>
              <c:f>PivotTables!$D$19:$D$23</c:f>
              <c:numCache>
                <c:formatCode>0.00%</c:formatCode>
                <c:ptCount val="4"/>
                <c:pt idx="0">
                  <c:v>7.9710144927536225E-2</c:v>
                </c:pt>
                <c:pt idx="1">
                  <c:v>0.71304347826086956</c:v>
                </c:pt>
                <c:pt idx="2">
                  <c:v>9.8550724637681164E-2</c:v>
                </c:pt>
                <c:pt idx="3">
                  <c:v>0.10869565217391304</c:v>
                </c:pt>
              </c:numCache>
            </c:numRef>
          </c:val>
          <c:extLst>
            <c:ext xmlns:c16="http://schemas.microsoft.com/office/drawing/2014/chart" uri="{C3380CC4-5D6E-409C-BE32-E72D297353CC}">
              <c16:uniqueId val="{00000018-41E4-4AE1-B8E9-FAB2EFC1BCDF}"/>
            </c:ext>
          </c:extLst>
        </c:ser>
        <c:dLbls>
          <c:showLegendKey val="0"/>
          <c:showVal val="0"/>
          <c:showCatName val="0"/>
          <c:showSerName val="0"/>
          <c:showPercent val="0"/>
          <c:showBubbleSize val="0"/>
          <c:showLeaderLines val="1"/>
        </c:dLbls>
        <c:firstSliceAng val="14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[project.xlsx]PivotTables!PivotTable15</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Cost</a:t>
            </a:r>
            <a:r>
              <a:rPr lang="en-US" b="1" baseline="0">
                <a:solidFill>
                  <a:schemeClr val="accent2">
                    <a:lumMod val="50000"/>
                  </a:schemeClr>
                </a:solidFill>
              </a:rPr>
              <a:t> and Quantity by Month</a:t>
            </a:r>
          </a:p>
        </c:rich>
      </c:tx>
      <c:layout>
        <c:manualLayout>
          <c:xMode val="edge"/>
          <c:yMode val="edge"/>
          <c:x val="1.4488761973101812E-2"/>
          <c:y val="2.7559049422561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square"/>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073440137325"/>
          <c:y val="0.17036085718047053"/>
          <c:w val="0.77798619813045222"/>
          <c:h val="0.60671500470890849"/>
        </c:manualLayout>
      </c:layout>
      <c:lineChart>
        <c:grouping val="stacked"/>
        <c:varyColors val="0"/>
        <c:ser>
          <c:idx val="0"/>
          <c:order val="0"/>
          <c:tx>
            <c:strRef>
              <c:f>PivotTables!$N$18</c:f>
              <c:strCache>
                <c:ptCount val="1"/>
                <c:pt idx="0">
                  <c:v>Cost</c:v>
                </c:pt>
              </c:strCache>
            </c:strRef>
          </c:tx>
          <c:spPr>
            <a:ln w="28575" cap="rnd">
              <a:solidFill>
                <a:schemeClr val="accent6"/>
              </a:solidFill>
              <a:round/>
            </a:ln>
            <a:effectLst/>
          </c:spPr>
          <c:marker>
            <c:symbol val="square"/>
            <c:size val="5"/>
            <c:spPr>
              <a:solidFill>
                <a:schemeClr val="accent6"/>
              </a:solidFill>
              <a:ln w="9525">
                <a:noFill/>
              </a:ln>
              <a:effectLst/>
            </c:spPr>
          </c:marker>
          <c:cat>
            <c:strRef>
              <c:f>PivotTables!$M$19:$M$31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PivotTables!$N$19:$N$31</c:f>
              <c:numCache>
                <c:formatCode>_("$"* #,##0_);_("$"* \(#,##0\);_("$"* "-"??_);_(@_)</c:formatCode>
                <c:ptCount val="12"/>
                <c:pt idx="0">
                  <c:v>3654507.42</c:v>
                </c:pt>
                <c:pt idx="1">
                  <c:v>2877128.75</c:v>
                </c:pt>
                <c:pt idx="2">
                  <c:v>4896093.99</c:v>
                </c:pt>
                <c:pt idx="3">
                  <c:v>3249594.22</c:v>
                </c:pt>
                <c:pt idx="4">
                  <c:v>2457285.11</c:v>
                </c:pt>
                <c:pt idx="5">
                  <c:v>2818736.83</c:v>
                </c:pt>
                <c:pt idx="6">
                  <c:v>3489728.47</c:v>
                </c:pt>
                <c:pt idx="7">
                  <c:v>3841312.05</c:v>
                </c:pt>
                <c:pt idx="8">
                  <c:v>4078417.75</c:v>
                </c:pt>
                <c:pt idx="9">
                  <c:v>3092392.11</c:v>
                </c:pt>
                <c:pt idx="10">
                  <c:v>3471620.83</c:v>
                </c:pt>
                <c:pt idx="11">
                  <c:v>2909760.07</c:v>
                </c:pt>
              </c:numCache>
            </c:numRef>
          </c:val>
          <c:smooth val="0"/>
          <c:extLst>
            <c:ext xmlns:c16="http://schemas.microsoft.com/office/drawing/2014/chart" uri="{C3380CC4-5D6E-409C-BE32-E72D297353CC}">
              <c16:uniqueId val="{00000007-7E15-4BCA-BCB4-77E1DFE91907}"/>
            </c:ext>
          </c:extLst>
        </c:ser>
        <c:ser>
          <c:idx val="1"/>
          <c:order val="1"/>
          <c:tx>
            <c:strRef>
              <c:f>PivotTables!$O$18</c:f>
              <c:strCache>
                <c:ptCount val="1"/>
                <c:pt idx="0">
                  <c:v>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PivotTables!$M$19:$M$31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PivotTables!$O$19:$O$31</c:f>
              <c:numCache>
                <c:formatCode>_(* #,##0_);_(* \(#,##0\);_(* "-"??_);_(@_)</c:formatCode>
                <c:ptCount val="12"/>
                <c:pt idx="0">
                  <c:v>62671</c:v>
                </c:pt>
                <c:pt idx="1">
                  <c:v>56769</c:v>
                </c:pt>
                <c:pt idx="2">
                  <c:v>89917</c:v>
                </c:pt>
                <c:pt idx="3">
                  <c:v>66833</c:v>
                </c:pt>
                <c:pt idx="4">
                  <c:v>43678</c:v>
                </c:pt>
                <c:pt idx="5">
                  <c:v>54549</c:v>
                </c:pt>
                <c:pt idx="6">
                  <c:v>70745</c:v>
                </c:pt>
                <c:pt idx="7">
                  <c:v>67415</c:v>
                </c:pt>
                <c:pt idx="8">
                  <c:v>71492</c:v>
                </c:pt>
                <c:pt idx="9">
                  <c:v>53001</c:v>
                </c:pt>
                <c:pt idx="10">
                  <c:v>66838</c:v>
                </c:pt>
                <c:pt idx="11">
                  <c:v>54777</c:v>
                </c:pt>
              </c:numCache>
            </c:numRef>
          </c:val>
          <c:smooth val="0"/>
          <c:extLst>
            <c:ext xmlns:c16="http://schemas.microsoft.com/office/drawing/2014/chart" uri="{C3380CC4-5D6E-409C-BE32-E72D297353CC}">
              <c16:uniqueId val="{00000008-7E15-4BCA-BCB4-77E1DFE91907}"/>
            </c:ext>
          </c:extLst>
        </c:ser>
        <c:dLbls>
          <c:showLegendKey val="0"/>
          <c:showVal val="0"/>
          <c:showCatName val="0"/>
          <c:showSerName val="0"/>
          <c:showPercent val="0"/>
          <c:showBubbleSize val="0"/>
        </c:dLbls>
        <c:marker val="1"/>
        <c:smooth val="0"/>
        <c:axId val="928138448"/>
        <c:axId val="928139408"/>
      </c:lineChart>
      <c:catAx>
        <c:axId val="9281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28139408"/>
        <c:crosses val="autoZero"/>
        <c:auto val="1"/>
        <c:lblAlgn val="ctr"/>
        <c:lblOffset val="100"/>
        <c:noMultiLvlLbl val="0"/>
      </c:catAx>
      <c:valAx>
        <c:axId val="9281394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28138448"/>
        <c:crosses val="autoZero"/>
        <c:crossBetween val="between"/>
      </c:valAx>
      <c:spPr>
        <a:noFill/>
        <a:ln>
          <a:noFill/>
        </a:ln>
        <a:effectLst/>
      </c:spPr>
    </c:plotArea>
    <c:legend>
      <c:legendPos val="r"/>
      <c:layout>
        <c:manualLayout>
          <c:xMode val="edge"/>
          <c:yMode val="edge"/>
          <c:x val="0.67896415288491485"/>
          <c:y val="5.41593759113444E-3"/>
          <c:w val="0.11915607234547708"/>
          <c:h val="0.160023774261002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Item</a:t>
            </a:r>
            <a:r>
              <a:rPr lang="en-US" b="1" baseline="0">
                <a:solidFill>
                  <a:schemeClr val="accent2">
                    <a:lumMod val="50000"/>
                  </a:schemeClr>
                </a:solidFill>
              </a:rPr>
              <a:t> Category by Cost and Quantity Bought</a:t>
            </a:r>
            <a:endParaRPr lang="en-US" b="1">
              <a:solidFill>
                <a:schemeClr val="accent2">
                  <a:lumMod val="50000"/>
                </a:schemeClr>
              </a:solidFill>
            </a:endParaRPr>
          </a:p>
        </c:rich>
      </c:tx>
      <c:layout>
        <c:manualLayout>
          <c:xMode val="edge"/>
          <c:yMode val="edge"/>
          <c:x val="1.9594341794621557E-2"/>
          <c:y val="2.52707569254973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solidFill>
              <a:schemeClr val="accent6">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4.1444642765943668E-3"/>
              <c:y val="-7.5812270776492094E-2"/>
            </c:manualLayout>
          </c:layout>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1.0361160691485917E-2"/>
              <c:y val="-5.8965099492827341E-2"/>
            </c:manualLayout>
          </c:layout>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6.2166964148915498E-3"/>
              <c:y val="-5.8965099492827182E-2"/>
            </c:manualLayout>
          </c:layout>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1.2433392829783023E-2"/>
              <c:y val="-5.4753306671910959E-2"/>
            </c:manualLayout>
          </c:layout>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0"/>
              <c:y val="-5.8965099492827341E-2"/>
            </c:manualLayout>
          </c:layout>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6450701600605"/>
          <c:y val="0.15621539572778287"/>
          <c:w val="0.72093346112820422"/>
          <c:h val="0.69981159688964079"/>
        </c:manualLayout>
      </c:layout>
      <c:barChart>
        <c:barDir val="col"/>
        <c:grouping val="clustered"/>
        <c:varyColors val="0"/>
        <c:ser>
          <c:idx val="0"/>
          <c:order val="0"/>
          <c:tx>
            <c:strRef>
              <c:f>PivotTables!$S$18</c:f>
              <c:strCache>
                <c:ptCount val="1"/>
                <c:pt idx="0">
                  <c:v>Cost</c:v>
                </c:pt>
              </c:strCache>
            </c:strRef>
          </c:tx>
          <c:spPr>
            <a:solidFill>
              <a:schemeClr val="accent6"/>
            </a:solidFill>
            <a:ln>
              <a:noFill/>
            </a:ln>
            <a:effectLst/>
          </c:spPr>
          <c:invertIfNegative val="0"/>
          <c:dLbls>
            <c:spPr>
              <a:solidFill>
                <a:schemeClr val="accent6">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PivotTables!$R$19:$R$24</c:f>
              <c:strCache>
                <c:ptCount val="5"/>
                <c:pt idx="0">
                  <c:v>MRO</c:v>
                </c:pt>
                <c:pt idx="1">
                  <c:v>Office Supplies</c:v>
                </c:pt>
                <c:pt idx="2">
                  <c:v>Electronics</c:v>
                </c:pt>
                <c:pt idx="3">
                  <c:v>Packaging</c:v>
                </c:pt>
                <c:pt idx="4">
                  <c:v>Raw Materials</c:v>
                </c:pt>
              </c:strCache>
            </c:strRef>
          </c:cat>
          <c:val>
            <c:numRef>
              <c:f>PivotTables!$S$19:$S$24</c:f>
              <c:numCache>
                <c:formatCode>_("$"* #,##0_);_("$"* \(#,##0\);_("$"* "-"??_);_(@_)</c:formatCode>
                <c:ptCount val="5"/>
                <c:pt idx="0">
                  <c:v>9275000.6799999997</c:v>
                </c:pt>
                <c:pt idx="1">
                  <c:v>8885861.0500000007</c:v>
                </c:pt>
                <c:pt idx="2">
                  <c:v>8068767.4299999997</c:v>
                </c:pt>
                <c:pt idx="3">
                  <c:v>7352527.0499999998</c:v>
                </c:pt>
                <c:pt idx="4">
                  <c:v>7254421.3899999997</c:v>
                </c:pt>
              </c:numCache>
            </c:numRef>
          </c:val>
          <c:extLst>
            <c:ext xmlns:c16="http://schemas.microsoft.com/office/drawing/2014/chart" uri="{C3380CC4-5D6E-409C-BE32-E72D297353CC}">
              <c16:uniqueId val="{0000000D-F26E-4708-A10F-71248587F033}"/>
            </c:ext>
          </c:extLst>
        </c:ser>
        <c:dLbls>
          <c:showLegendKey val="0"/>
          <c:showVal val="0"/>
          <c:showCatName val="0"/>
          <c:showSerName val="0"/>
          <c:showPercent val="0"/>
          <c:showBubbleSize val="0"/>
        </c:dLbls>
        <c:gapWidth val="200"/>
        <c:axId val="1615318208"/>
        <c:axId val="1615314848"/>
      </c:barChart>
      <c:lineChart>
        <c:grouping val="standard"/>
        <c:varyColors val="0"/>
        <c:ser>
          <c:idx val="1"/>
          <c:order val="1"/>
          <c:tx>
            <c:strRef>
              <c:f>PivotTables!$T$18</c:f>
              <c:strCache>
                <c:ptCount val="1"/>
                <c:pt idx="0">
                  <c:v>Quantity</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0-E044-4047-87A7-7120167D299B}"/>
              </c:ext>
            </c:extLst>
          </c:dPt>
          <c:dPt>
            <c:idx val="1"/>
            <c:marker>
              <c:symbol val="none"/>
            </c:marker>
            <c:bubble3D val="0"/>
            <c:extLst>
              <c:ext xmlns:c16="http://schemas.microsoft.com/office/drawing/2014/chart" uri="{C3380CC4-5D6E-409C-BE32-E72D297353CC}">
                <c16:uniqueId val="{00000001-E044-4047-87A7-7120167D299B}"/>
              </c:ext>
            </c:extLst>
          </c:dPt>
          <c:dPt>
            <c:idx val="2"/>
            <c:marker>
              <c:symbol val="none"/>
            </c:marker>
            <c:bubble3D val="0"/>
            <c:extLst>
              <c:ext xmlns:c16="http://schemas.microsoft.com/office/drawing/2014/chart" uri="{C3380CC4-5D6E-409C-BE32-E72D297353CC}">
                <c16:uniqueId val="{00000002-E044-4047-87A7-7120167D299B}"/>
              </c:ext>
            </c:extLst>
          </c:dPt>
          <c:dPt>
            <c:idx val="3"/>
            <c:marker>
              <c:symbol val="none"/>
            </c:marker>
            <c:bubble3D val="0"/>
            <c:extLst>
              <c:ext xmlns:c16="http://schemas.microsoft.com/office/drawing/2014/chart" uri="{C3380CC4-5D6E-409C-BE32-E72D297353CC}">
                <c16:uniqueId val="{00000003-E044-4047-87A7-7120167D299B}"/>
              </c:ext>
            </c:extLst>
          </c:dPt>
          <c:dPt>
            <c:idx val="4"/>
            <c:marker>
              <c:symbol val="none"/>
            </c:marker>
            <c:bubble3D val="0"/>
            <c:extLst>
              <c:ext xmlns:c16="http://schemas.microsoft.com/office/drawing/2014/chart" uri="{C3380CC4-5D6E-409C-BE32-E72D297353CC}">
                <c16:uniqueId val="{00000004-E044-4047-87A7-7120167D299B}"/>
              </c:ext>
            </c:extLst>
          </c:dPt>
          <c:dLbls>
            <c:dLbl>
              <c:idx val="0"/>
              <c:layout>
                <c:manualLayout>
                  <c:x val="1.2433392829783023E-2"/>
                  <c:y val="-5.4753306671910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44-4047-87A7-7120167D299B}"/>
                </c:ext>
              </c:extLst>
            </c:dLbl>
            <c:dLbl>
              <c:idx val="1"/>
              <c:layout>
                <c:manualLayout>
                  <c:x val="6.2166964148915498E-3"/>
                  <c:y val="-5.8965099492827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44-4047-87A7-7120167D299B}"/>
                </c:ext>
              </c:extLst>
            </c:dLbl>
            <c:dLbl>
              <c:idx val="2"/>
              <c:layout>
                <c:manualLayout>
                  <c:x val="0"/>
                  <c:y val="-5.8965099492827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44-4047-87A7-7120167D299B}"/>
                </c:ext>
              </c:extLst>
            </c:dLbl>
            <c:dLbl>
              <c:idx val="3"/>
              <c:layout>
                <c:manualLayout>
                  <c:x val="1.0361160691485917E-2"/>
                  <c:y val="-5.8965099492827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44-4047-87A7-7120167D299B}"/>
                </c:ext>
              </c:extLst>
            </c:dLbl>
            <c:dLbl>
              <c:idx val="4"/>
              <c:layout>
                <c:manualLayout>
                  <c:x val="-4.1444642765943668E-3"/>
                  <c:y val="-7.58122707764920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44-4047-87A7-7120167D299B}"/>
                </c:ext>
              </c:extLst>
            </c:dLbl>
            <c:spPr>
              <a:solidFill>
                <a:schemeClr val="accent2">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PivotTables!$R$19:$R$24</c:f>
              <c:strCache>
                <c:ptCount val="5"/>
                <c:pt idx="0">
                  <c:v>MRO</c:v>
                </c:pt>
                <c:pt idx="1">
                  <c:v>Office Supplies</c:v>
                </c:pt>
                <c:pt idx="2">
                  <c:v>Electronics</c:v>
                </c:pt>
                <c:pt idx="3">
                  <c:v>Packaging</c:v>
                </c:pt>
                <c:pt idx="4">
                  <c:v>Raw Materials</c:v>
                </c:pt>
              </c:strCache>
            </c:strRef>
          </c:cat>
          <c:val>
            <c:numRef>
              <c:f>PivotTables!$T$19:$T$24</c:f>
              <c:numCache>
                <c:formatCode>_(* #,##0_);_(* \(#,##0\);_(* "-"??_);_(@_)</c:formatCode>
                <c:ptCount val="5"/>
                <c:pt idx="0">
                  <c:v>167798</c:v>
                </c:pt>
                <c:pt idx="1">
                  <c:v>159858</c:v>
                </c:pt>
                <c:pt idx="2">
                  <c:v>153387</c:v>
                </c:pt>
                <c:pt idx="3">
                  <c:v>149159</c:v>
                </c:pt>
                <c:pt idx="4">
                  <c:v>128483</c:v>
                </c:pt>
              </c:numCache>
            </c:numRef>
          </c:val>
          <c:smooth val="0"/>
          <c:extLst>
            <c:ext xmlns:c16="http://schemas.microsoft.com/office/drawing/2014/chart" uri="{C3380CC4-5D6E-409C-BE32-E72D297353CC}">
              <c16:uniqueId val="{0000000E-F26E-4708-A10F-71248587F033}"/>
            </c:ext>
          </c:extLst>
        </c:ser>
        <c:dLbls>
          <c:showLegendKey val="0"/>
          <c:showVal val="0"/>
          <c:showCatName val="0"/>
          <c:showSerName val="0"/>
          <c:showPercent val="0"/>
          <c:showBubbleSize val="0"/>
        </c:dLbls>
        <c:marker val="1"/>
        <c:smooth val="0"/>
        <c:axId val="472798079"/>
        <c:axId val="472796639"/>
      </c:lineChart>
      <c:catAx>
        <c:axId val="161531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615314848"/>
        <c:crosses val="autoZero"/>
        <c:auto val="1"/>
        <c:lblAlgn val="ctr"/>
        <c:lblOffset val="100"/>
        <c:noMultiLvlLbl val="0"/>
      </c:catAx>
      <c:valAx>
        <c:axId val="1615314848"/>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615318208"/>
        <c:crosses val="autoZero"/>
        <c:crossBetween val="between"/>
      </c:valAx>
      <c:valAx>
        <c:axId val="47279663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798079"/>
        <c:crosses val="max"/>
        <c:crossBetween val="between"/>
      </c:valAx>
      <c:catAx>
        <c:axId val="472798079"/>
        <c:scaling>
          <c:orientation val="minMax"/>
        </c:scaling>
        <c:delete val="1"/>
        <c:axPos val="b"/>
        <c:numFmt formatCode="General" sourceLinked="1"/>
        <c:majorTickMark val="out"/>
        <c:minorTickMark val="none"/>
        <c:tickLblPos val="nextTo"/>
        <c:crossAx val="472796639"/>
        <c:auto val="1"/>
        <c:lblAlgn val="ctr"/>
        <c:lblOffset val="100"/>
        <c:noMultiLvlLbl val="0"/>
      </c:catAx>
      <c:spPr>
        <a:noFill/>
        <a:ln>
          <a:noFill/>
        </a:ln>
        <a:effectLst/>
      </c:spPr>
    </c:plotArea>
    <c:legend>
      <c:legendPos val="r"/>
      <c:layout>
        <c:manualLayout>
          <c:xMode val="edge"/>
          <c:yMode val="edge"/>
          <c:x val="0.66945778652668408"/>
          <c:y val="2.8564085739282589E-2"/>
          <c:w val="0.12196918188340027"/>
          <c:h val="0.14692264133610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[project.xlsx]PivotTables!PivotTable2</c:name>
    <c:fmtId val="9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lumMod val="50000"/>
                  </a:schemeClr>
                </a:solidFill>
              </a:rPr>
              <a:t>Cost Spent</a:t>
            </a:r>
            <a:r>
              <a:rPr lang="en-US" sz="1400" b="1" baseline="0">
                <a:solidFill>
                  <a:schemeClr val="accent2">
                    <a:lumMod val="50000"/>
                  </a:schemeClr>
                </a:solidFill>
              </a:rPr>
              <a:t> by Year</a:t>
            </a:r>
            <a:endParaRPr lang="en-US" sz="1400" b="1">
              <a:solidFill>
                <a:schemeClr val="accent2">
                  <a:lumMod val="50000"/>
                </a:schemeClr>
              </a:solidFill>
            </a:endParaRPr>
          </a:p>
        </c:rich>
      </c:tx>
      <c:layout>
        <c:manualLayout>
          <c:xMode val="edge"/>
          <c:yMode val="edge"/>
          <c:x val="2.7379131605639619E-2"/>
          <c:y val="1.7902814500997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PivotTables!$AA$18:$AA$19</c:f>
              <c:strCache>
                <c:ptCount val="1"/>
                <c:pt idx="0">
                  <c:v>2022</c:v>
                </c:pt>
              </c:strCache>
            </c:strRef>
          </c:tx>
          <c:spPr>
            <a:solidFill>
              <a:schemeClr val="accent6"/>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PivotTables!$Z$20</c:f>
              <c:strCache>
                <c:ptCount val="1"/>
                <c:pt idx="0">
                  <c:v>Total</c:v>
                </c:pt>
              </c:strCache>
            </c:strRef>
          </c:cat>
          <c:val>
            <c:numRef>
              <c:f>PivotTables!$AA$20</c:f>
              <c:numCache>
                <c:formatCode>0.00%</c:formatCode>
                <c:ptCount val="1"/>
                <c:pt idx="0">
                  <c:v>0.46124895196898186</c:v>
                </c:pt>
              </c:numCache>
            </c:numRef>
          </c:val>
          <c:extLst>
            <c:ext xmlns:c16="http://schemas.microsoft.com/office/drawing/2014/chart" uri="{C3380CC4-5D6E-409C-BE32-E72D297353CC}">
              <c16:uniqueId val="{0000000F-A794-4CC2-985D-163B0D20DDC4}"/>
            </c:ext>
          </c:extLst>
        </c:ser>
        <c:ser>
          <c:idx val="1"/>
          <c:order val="1"/>
          <c:tx>
            <c:strRef>
              <c:f>PivotTables!$AB$18:$AB$19</c:f>
              <c:strCache>
                <c:ptCount val="1"/>
                <c:pt idx="0">
                  <c:v>2023</c:v>
                </c:pt>
              </c:strCache>
            </c:strRef>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PivotTables!$Z$20</c:f>
              <c:strCache>
                <c:ptCount val="1"/>
                <c:pt idx="0">
                  <c:v>Total</c:v>
                </c:pt>
              </c:strCache>
            </c:strRef>
          </c:cat>
          <c:val>
            <c:numRef>
              <c:f>PivotTables!$AB$20</c:f>
              <c:numCache>
                <c:formatCode>0.00%</c:formatCode>
                <c:ptCount val="1"/>
                <c:pt idx="0">
                  <c:v>0.53691700893171812</c:v>
                </c:pt>
              </c:numCache>
            </c:numRef>
          </c:val>
          <c:extLst>
            <c:ext xmlns:c16="http://schemas.microsoft.com/office/drawing/2014/chart" uri="{C3380CC4-5D6E-409C-BE32-E72D297353CC}">
              <c16:uniqueId val="{00000009-0FAA-48C3-B315-FDAAE5E393E0}"/>
            </c:ext>
          </c:extLst>
        </c:ser>
        <c:ser>
          <c:idx val="2"/>
          <c:order val="2"/>
          <c:tx>
            <c:strRef>
              <c:f>PivotTables!$AC$18:$AC$19</c:f>
              <c:strCache>
                <c:ptCount val="1"/>
                <c:pt idx="0">
                  <c:v>2024</c:v>
                </c:pt>
              </c:strCache>
            </c:strRef>
          </c:tx>
          <c:spPr>
            <a:solidFill>
              <a:srgbClr val="FFC000"/>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PivotTables!$Z$20</c:f>
              <c:strCache>
                <c:ptCount val="1"/>
                <c:pt idx="0">
                  <c:v>Total</c:v>
                </c:pt>
              </c:strCache>
            </c:strRef>
          </c:cat>
          <c:val>
            <c:numRef>
              <c:f>PivotTables!$AC$20</c:f>
              <c:numCache>
                <c:formatCode>0.00%</c:formatCode>
                <c:ptCount val="1"/>
                <c:pt idx="0">
                  <c:v>1.8340390993000354E-3</c:v>
                </c:pt>
              </c:numCache>
            </c:numRef>
          </c:val>
          <c:extLst>
            <c:ext xmlns:c16="http://schemas.microsoft.com/office/drawing/2014/chart" uri="{C3380CC4-5D6E-409C-BE32-E72D297353CC}">
              <c16:uniqueId val="{0000000A-0FAA-48C3-B315-FDAAE5E393E0}"/>
            </c:ext>
          </c:extLst>
        </c:ser>
        <c:dLbls>
          <c:dLblPos val="ctr"/>
          <c:showLegendKey val="0"/>
          <c:showVal val="1"/>
          <c:showCatName val="0"/>
          <c:showSerName val="0"/>
          <c:showPercent val="0"/>
          <c:showBubbleSize val="0"/>
        </c:dLbls>
        <c:gapWidth val="250"/>
        <c:overlap val="100"/>
        <c:axId val="694433487"/>
        <c:axId val="694425327"/>
      </c:barChart>
      <c:catAx>
        <c:axId val="694433487"/>
        <c:scaling>
          <c:orientation val="minMax"/>
        </c:scaling>
        <c:delete val="1"/>
        <c:axPos val="l"/>
        <c:numFmt formatCode="General" sourceLinked="1"/>
        <c:majorTickMark val="none"/>
        <c:minorTickMark val="none"/>
        <c:tickLblPos val="nextTo"/>
        <c:crossAx val="694425327"/>
        <c:crosses val="autoZero"/>
        <c:auto val="1"/>
        <c:lblAlgn val="ctr"/>
        <c:lblOffset val="100"/>
        <c:noMultiLvlLbl val="0"/>
      </c:catAx>
      <c:valAx>
        <c:axId val="69442532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94433487"/>
        <c:crosses val="autoZero"/>
        <c:crossBetween val="between"/>
      </c:valAx>
      <c:spPr>
        <a:noFill/>
        <a:ln>
          <a:noFill/>
        </a:ln>
        <a:effectLst/>
      </c:spPr>
    </c:plotArea>
    <c:legend>
      <c:legendPos val="r"/>
      <c:layout>
        <c:manualLayout>
          <c:xMode val="edge"/>
          <c:yMode val="edge"/>
          <c:x val="0.57979359829723764"/>
          <c:y val="3.9006130382524477E-2"/>
          <c:w val="0.11343105065972935"/>
          <c:h val="0.14858596034130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[project.xlsx]PivotTables!PivotTable3</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Suppliers by Avg Delivery Duration (Days)</a:t>
            </a:r>
          </a:p>
        </c:rich>
      </c:tx>
      <c:layout>
        <c:manualLayout>
          <c:xMode val="edge"/>
          <c:yMode val="edge"/>
          <c:x val="2.1458223972003487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08705161854761E-2"/>
          <c:y val="0.177814767577226"/>
          <c:w val="0.88137270341207352"/>
          <c:h val="0.48962184902490441"/>
        </c:manualLayout>
      </c:layout>
      <c:barChart>
        <c:barDir val="col"/>
        <c:grouping val="clustered"/>
        <c:varyColors val="0"/>
        <c:ser>
          <c:idx val="0"/>
          <c:order val="0"/>
          <c:tx>
            <c:strRef>
              <c:f>PivotTables!$C$64</c:f>
              <c:strCache>
                <c:ptCount val="1"/>
                <c:pt idx="0">
                  <c:v>Total</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PivotTables!$B$65:$B$70</c:f>
              <c:strCache>
                <c:ptCount val="5"/>
                <c:pt idx="0">
                  <c:v>Gamma_Co</c:v>
                </c:pt>
                <c:pt idx="1">
                  <c:v>Alpha_Inc</c:v>
                </c:pt>
                <c:pt idx="2">
                  <c:v>Delta_Logistics</c:v>
                </c:pt>
                <c:pt idx="3">
                  <c:v>Epsilon_Group</c:v>
                </c:pt>
                <c:pt idx="4">
                  <c:v>Beta_Supplies</c:v>
                </c:pt>
              </c:strCache>
            </c:strRef>
          </c:cat>
          <c:val>
            <c:numRef>
              <c:f>PivotTables!$C$65:$C$70</c:f>
              <c:numCache>
                <c:formatCode>0.0</c:formatCode>
                <c:ptCount val="5"/>
                <c:pt idx="0">
                  <c:v>10.192307692307692</c:v>
                </c:pt>
                <c:pt idx="1">
                  <c:v>10.606837606837606</c:v>
                </c:pt>
                <c:pt idx="2">
                  <c:v>10.85430463576159</c:v>
                </c:pt>
                <c:pt idx="3">
                  <c:v>10.865771812080537</c:v>
                </c:pt>
                <c:pt idx="4">
                  <c:v>11.272727272727273</c:v>
                </c:pt>
              </c:numCache>
            </c:numRef>
          </c:val>
          <c:extLst>
            <c:ext xmlns:c16="http://schemas.microsoft.com/office/drawing/2014/chart" uri="{C3380CC4-5D6E-409C-BE32-E72D297353CC}">
              <c16:uniqueId val="{00000005-5D2D-4DE0-AC66-9CEADBC44199}"/>
            </c:ext>
          </c:extLst>
        </c:ser>
        <c:dLbls>
          <c:dLblPos val="outEnd"/>
          <c:showLegendKey val="0"/>
          <c:showVal val="1"/>
          <c:showCatName val="0"/>
          <c:showSerName val="0"/>
          <c:showPercent val="0"/>
          <c:showBubbleSize val="0"/>
        </c:dLbls>
        <c:gapWidth val="200"/>
        <c:overlap val="-27"/>
        <c:axId val="717580751"/>
        <c:axId val="717578351"/>
      </c:barChart>
      <c:catAx>
        <c:axId val="71758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17578351"/>
        <c:crosses val="autoZero"/>
        <c:auto val="1"/>
        <c:lblAlgn val="ctr"/>
        <c:lblOffset val="100"/>
        <c:noMultiLvlLbl val="0"/>
      </c:catAx>
      <c:valAx>
        <c:axId val="717578351"/>
        <c:scaling>
          <c:orientation val="minMax"/>
        </c:scaling>
        <c:delete val="1"/>
        <c:axPos val="l"/>
        <c:numFmt formatCode="0.0" sourceLinked="1"/>
        <c:majorTickMark val="none"/>
        <c:minorTickMark val="none"/>
        <c:tickLblPos val="nextTo"/>
        <c:crossAx val="71758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[project.xlsx]PivotTables!PivotTable16</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Suppliers by Negotiability</a:t>
            </a:r>
            <a:r>
              <a:rPr lang="en-US" b="1" baseline="0">
                <a:solidFill>
                  <a:schemeClr val="accent2">
                    <a:lumMod val="50000"/>
                  </a:schemeClr>
                </a:solidFill>
              </a:rPr>
              <a:t> %</a:t>
            </a:r>
            <a:endParaRPr lang="en-US" b="1">
              <a:solidFill>
                <a:schemeClr val="accent2">
                  <a:lumMod val="50000"/>
                </a:schemeClr>
              </a:solidFill>
            </a:endParaRPr>
          </a:p>
        </c:rich>
      </c:tx>
      <c:layout>
        <c:manualLayout>
          <c:xMode val="edge"/>
          <c:yMode val="edge"/>
          <c:x val="2.2711673342268028E-2"/>
          <c:y val="2.88574713583916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PivotTables!$F$64</c:f>
              <c:strCache>
                <c:ptCount val="1"/>
                <c:pt idx="0">
                  <c:v>Total</c:v>
                </c:pt>
              </c:strCache>
            </c:strRef>
          </c:tx>
          <c:spPr>
            <a:solidFill>
              <a:schemeClr val="accent6"/>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PivotTables!$E$65:$E$70</c:f>
              <c:strCache>
                <c:ptCount val="5"/>
                <c:pt idx="0">
                  <c:v>Alpha_Inc</c:v>
                </c:pt>
                <c:pt idx="1">
                  <c:v>Beta_Supplies</c:v>
                </c:pt>
                <c:pt idx="2">
                  <c:v>Epsilon_Group</c:v>
                </c:pt>
                <c:pt idx="3">
                  <c:v>Gamma_Co</c:v>
                </c:pt>
                <c:pt idx="4">
                  <c:v>Delta_Logistics</c:v>
                </c:pt>
              </c:strCache>
            </c:strRef>
          </c:cat>
          <c:val>
            <c:numRef>
              <c:f>PivotTables!$F$65:$F$70</c:f>
              <c:numCache>
                <c:formatCode>0.00%</c:formatCode>
                <c:ptCount val="5"/>
                <c:pt idx="0">
                  <c:v>8.14284307110682E-2</c:v>
                </c:pt>
                <c:pt idx="1">
                  <c:v>7.9612013596784159E-2</c:v>
                </c:pt>
                <c:pt idx="2">
                  <c:v>7.930440592935456E-2</c:v>
                </c:pt>
                <c:pt idx="3">
                  <c:v>7.8952471899457838E-2</c:v>
                </c:pt>
                <c:pt idx="4">
                  <c:v>7.8132314678336187E-2</c:v>
                </c:pt>
              </c:numCache>
            </c:numRef>
          </c:val>
          <c:extLst>
            <c:ext xmlns:c16="http://schemas.microsoft.com/office/drawing/2014/chart" uri="{C3380CC4-5D6E-409C-BE32-E72D297353CC}">
              <c16:uniqueId val="{00000005-2B22-4D75-BAC0-484B7A3BA65E}"/>
            </c:ext>
          </c:extLst>
        </c:ser>
        <c:dLbls>
          <c:dLblPos val="outEnd"/>
          <c:showLegendKey val="0"/>
          <c:showVal val="1"/>
          <c:showCatName val="0"/>
          <c:showSerName val="0"/>
          <c:showPercent val="0"/>
          <c:showBubbleSize val="0"/>
        </c:dLbls>
        <c:gapWidth val="100"/>
        <c:axId val="967449231"/>
        <c:axId val="967452111"/>
      </c:barChart>
      <c:catAx>
        <c:axId val="96744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67452111"/>
        <c:crosses val="autoZero"/>
        <c:auto val="1"/>
        <c:lblAlgn val="ctr"/>
        <c:lblOffset val="100"/>
        <c:noMultiLvlLbl val="0"/>
      </c:catAx>
      <c:valAx>
        <c:axId val="967452111"/>
        <c:scaling>
          <c:orientation val="minMax"/>
        </c:scaling>
        <c:delete val="1"/>
        <c:axPos val="b"/>
        <c:numFmt formatCode="0.00%" sourceLinked="1"/>
        <c:majorTickMark val="none"/>
        <c:minorTickMark val="none"/>
        <c:tickLblPos val="nextTo"/>
        <c:crossAx val="9674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[project.xlsx]PivotTables!PivotTable18</c:name>
    <c:fmtId val="60"/>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rPr>
              <a:t>Suppliers</a:t>
            </a:r>
            <a:r>
              <a:rPr lang="en-US" b="1" baseline="0">
                <a:solidFill>
                  <a:schemeClr val="accent2">
                    <a:lumMod val="50000"/>
                  </a:schemeClr>
                </a:solidFill>
              </a:rPr>
              <a:t> by Bought Items Category</a:t>
            </a:r>
            <a:endParaRPr lang="en-US" b="1">
              <a:solidFill>
                <a:schemeClr val="accent2">
                  <a:lumMod val="50000"/>
                </a:schemeClr>
              </a:solidFill>
            </a:endParaRPr>
          </a:p>
        </c:rich>
      </c:tx>
      <c:layout>
        <c:manualLayout>
          <c:xMode val="edge"/>
          <c:yMode val="edge"/>
          <c:x val="2.3419576449054492E-2"/>
          <c:y val="2.6923074205221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14627445136922E-2"/>
          <c:y val="0.16642947037861192"/>
          <c:w val="0.69325797654117671"/>
          <c:h val="0.55732176889544027"/>
        </c:manualLayout>
      </c:layout>
      <c:barChart>
        <c:barDir val="col"/>
        <c:grouping val="percentStacked"/>
        <c:varyColors val="0"/>
        <c:ser>
          <c:idx val="0"/>
          <c:order val="0"/>
          <c:tx>
            <c:strRef>
              <c:f>PivotTables!$O$64:$O$65</c:f>
              <c:strCache>
                <c:ptCount val="1"/>
                <c:pt idx="0">
                  <c:v>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PivotTables!$O$66:$O$71</c:f>
              <c:numCache>
                <c:formatCode>0.00%</c:formatCode>
                <c:ptCount val="5"/>
                <c:pt idx="0">
                  <c:v>0.2225866945591157</c:v>
                </c:pt>
                <c:pt idx="1">
                  <c:v>0.19563426035971793</c:v>
                </c:pt>
                <c:pt idx="2">
                  <c:v>0.20468320922292868</c:v>
                </c:pt>
                <c:pt idx="3">
                  <c:v>0.20619680490718958</c:v>
                </c:pt>
                <c:pt idx="4">
                  <c:v>0.17812780910353845</c:v>
                </c:pt>
              </c:numCache>
            </c:numRef>
          </c:val>
          <c:extLst>
            <c:ext xmlns:c16="http://schemas.microsoft.com/office/drawing/2014/chart" uri="{C3380CC4-5D6E-409C-BE32-E72D297353CC}">
              <c16:uniqueId val="{0000001D-9C60-42CA-88E8-EDBADE8E1EB2}"/>
            </c:ext>
          </c:extLst>
        </c:ser>
        <c:ser>
          <c:idx val="1"/>
          <c:order val="1"/>
          <c:tx>
            <c:strRef>
              <c:f>PivotTables!$P$64:$P$65</c:f>
              <c:strCache>
                <c:ptCount val="1"/>
                <c:pt idx="0">
                  <c:v>MRO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PivotTables!$P$66:$P$71</c:f>
              <c:numCache>
                <c:formatCode>0.00%</c:formatCode>
                <c:ptCount val="5"/>
                <c:pt idx="0">
                  <c:v>0.17379141316927951</c:v>
                </c:pt>
                <c:pt idx="1">
                  <c:v>0.26875049520640204</c:v>
                </c:pt>
                <c:pt idx="2">
                  <c:v>0.17074045669330298</c:v>
                </c:pt>
                <c:pt idx="3">
                  <c:v>0.24061118159311221</c:v>
                </c:pt>
                <c:pt idx="4">
                  <c:v>0.26643240445642996</c:v>
                </c:pt>
              </c:numCache>
            </c:numRef>
          </c:val>
          <c:extLst>
            <c:ext xmlns:c16="http://schemas.microsoft.com/office/drawing/2014/chart" uri="{C3380CC4-5D6E-409C-BE32-E72D297353CC}">
              <c16:uniqueId val="{00000005-59A5-4DAE-AF10-EF97AF301B98}"/>
            </c:ext>
          </c:extLst>
        </c:ser>
        <c:ser>
          <c:idx val="2"/>
          <c:order val="2"/>
          <c:tx>
            <c:strRef>
              <c:f>PivotTables!$Q$64:$Q$65</c:f>
              <c:strCache>
                <c:ptCount val="1"/>
                <c:pt idx="0">
                  <c:v>Office Supplies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PivotTables!$Q$66:$Q$71</c:f>
              <c:numCache>
                <c:formatCode>0.00%</c:formatCode>
                <c:ptCount val="5"/>
                <c:pt idx="0">
                  <c:v>0.20384593960624608</c:v>
                </c:pt>
                <c:pt idx="1">
                  <c:v>0.24760320101418271</c:v>
                </c:pt>
                <c:pt idx="2">
                  <c:v>0.25246777665075087</c:v>
                </c:pt>
                <c:pt idx="3">
                  <c:v>0.20807518445071255</c:v>
                </c:pt>
                <c:pt idx="4">
                  <c:v>0.14345836397809922</c:v>
                </c:pt>
              </c:numCache>
            </c:numRef>
          </c:val>
          <c:extLst>
            <c:ext xmlns:c16="http://schemas.microsoft.com/office/drawing/2014/chart" uri="{C3380CC4-5D6E-409C-BE32-E72D297353CC}">
              <c16:uniqueId val="{00000006-59A5-4DAE-AF10-EF97AF301B98}"/>
            </c:ext>
          </c:extLst>
        </c:ser>
        <c:ser>
          <c:idx val="3"/>
          <c:order val="3"/>
          <c:tx>
            <c:strRef>
              <c:f>PivotTables!$R$64:$R$65</c:f>
              <c:strCache>
                <c:ptCount val="1"/>
                <c:pt idx="0">
                  <c:v>Packaging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PivotTables!$R$66:$R$71</c:f>
              <c:numCache>
                <c:formatCode>0.00%</c:formatCode>
                <c:ptCount val="5"/>
                <c:pt idx="0">
                  <c:v>0.19167806502324028</c:v>
                </c:pt>
                <c:pt idx="1">
                  <c:v>0.20816100150542746</c:v>
                </c:pt>
                <c:pt idx="2">
                  <c:v>0.17682640211771108</c:v>
                </c:pt>
                <c:pt idx="3">
                  <c:v>0.19517287250421866</c:v>
                </c:pt>
                <c:pt idx="4">
                  <c:v>0.21543951404211273</c:v>
                </c:pt>
              </c:numCache>
            </c:numRef>
          </c:val>
          <c:extLst>
            <c:ext xmlns:c16="http://schemas.microsoft.com/office/drawing/2014/chart" uri="{C3380CC4-5D6E-409C-BE32-E72D297353CC}">
              <c16:uniqueId val="{00000007-59A5-4DAE-AF10-EF97AF301B98}"/>
            </c:ext>
          </c:extLst>
        </c:ser>
        <c:ser>
          <c:idx val="4"/>
          <c:order val="4"/>
          <c:tx>
            <c:strRef>
              <c:f>PivotTables!$S$64:$S$65</c:f>
              <c:strCache>
                <c:ptCount val="1"/>
                <c:pt idx="0">
                  <c:v>Raw Materials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PivotTables!$N$66:$N$71</c:f>
              <c:strCache>
                <c:ptCount val="5"/>
                <c:pt idx="0">
                  <c:v>Delta_Logistics</c:v>
                </c:pt>
                <c:pt idx="1">
                  <c:v>Alpha_Inc</c:v>
                </c:pt>
                <c:pt idx="2">
                  <c:v>Beta_Supplies</c:v>
                </c:pt>
                <c:pt idx="3">
                  <c:v>Epsilon_Group</c:v>
                </c:pt>
                <c:pt idx="4">
                  <c:v>Gamma_Co</c:v>
                </c:pt>
              </c:strCache>
            </c:strRef>
          </c:cat>
          <c:val>
            <c:numRef>
              <c:f>PivotTables!$S$66:$S$71</c:f>
              <c:numCache>
                <c:formatCode>0.00%</c:formatCode>
                <c:ptCount val="5"/>
                <c:pt idx="0">
                  <c:v>0.20809788764211842</c:v>
                </c:pt>
                <c:pt idx="1">
                  <c:v>7.9851041914269866E-2</c:v>
                </c:pt>
                <c:pt idx="2">
                  <c:v>0.1952821553153064</c:v>
                </c:pt>
                <c:pt idx="3">
                  <c:v>0.14994395654476703</c:v>
                </c:pt>
                <c:pt idx="4">
                  <c:v>0.19654190841981967</c:v>
                </c:pt>
              </c:numCache>
            </c:numRef>
          </c:val>
          <c:extLst>
            <c:ext xmlns:c16="http://schemas.microsoft.com/office/drawing/2014/chart" uri="{C3380CC4-5D6E-409C-BE32-E72D297353CC}">
              <c16:uniqueId val="{00000008-59A5-4DAE-AF10-EF97AF301B98}"/>
            </c:ext>
          </c:extLst>
        </c:ser>
        <c:dLbls>
          <c:dLblPos val="ctr"/>
          <c:showLegendKey val="0"/>
          <c:showVal val="1"/>
          <c:showCatName val="0"/>
          <c:showSerName val="0"/>
          <c:showPercent val="0"/>
          <c:showBubbleSize val="0"/>
        </c:dLbls>
        <c:gapWidth val="50"/>
        <c:overlap val="100"/>
        <c:axId val="984797359"/>
        <c:axId val="984798319"/>
      </c:barChart>
      <c:catAx>
        <c:axId val="98479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84798319"/>
        <c:crosses val="autoZero"/>
        <c:auto val="1"/>
        <c:lblAlgn val="ctr"/>
        <c:lblOffset val="100"/>
        <c:noMultiLvlLbl val="0"/>
      </c:catAx>
      <c:valAx>
        <c:axId val="984798319"/>
        <c:scaling>
          <c:orientation val="minMax"/>
        </c:scaling>
        <c:delete val="1"/>
        <c:axPos val="l"/>
        <c:numFmt formatCode="0%" sourceLinked="1"/>
        <c:majorTickMark val="none"/>
        <c:minorTickMark val="none"/>
        <c:tickLblPos val="nextTo"/>
        <c:crossAx val="984797359"/>
        <c:crosses val="autoZero"/>
        <c:crossBetween val="between"/>
      </c:valAx>
      <c:spPr>
        <a:noFill/>
        <a:ln>
          <a:noFill/>
        </a:ln>
        <a:effectLst/>
      </c:spPr>
    </c:plotArea>
    <c:legend>
      <c:legendPos val="r"/>
      <c:layout>
        <c:manualLayout>
          <c:xMode val="edge"/>
          <c:yMode val="edge"/>
          <c:x val="0.75114317179524281"/>
          <c:y val="0.1738523951289728"/>
          <c:w val="0.2214703027634298"/>
          <c:h val="0.432578065776430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14388116-4B22-4246-88AE-CF9C5C14CBE7}">
          <cx:tx>
            <cx:txData>
              <cx:f>_xlchart.v1.1</cx:f>
              <cx:v>Sum of Cost Savings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Suppliers by Cost Savings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2">
                  <a:lumMod val="50000"/>
                </a:schemeClr>
              </a:solidFill>
              <a:latin typeface="Calibri" panose="020F0502020204030204"/>
            </a:rPr>
            <a:t>Suppliers by Cost Savings</a:t>
          </a:r>
        </a:p>
      </cx:txPr>
    </cx:title>
    <cx:plotArea>
      <cx:plotAreaRegion>
        <cx:series layoutId="treemap" uniqueId="{14388116-4B22-4246-88AE-CF9C5C14CBE7}">
          <cx:tx>
            <cx:txData>
              <cx:f>_xlchart.v1.4</cx:f>
              <cx:v>Sum of Cost Savings</cx:v>
            </cx:txData>
          </cx:tx>
          <cx:dataLabels pos="inEnd">
            <cx:visibility seriesName="0" categoryName="1" value="1"/>
            <cx:separator>, </cx:separator>
          </cx:dataLabels>
          <cx:dataId val="0"/>
          <cx:layoutPr>
            <cx:parentLabelLayout val="overlapping"/>
          </cx:layoutPr>
        </cx:series>
      </cx:plotAreaRegion>
    </cx:plotArea>
  </cx:chart>
  <cx:spPr>
    <a:noFill/>
    <a:ln>
      <a:solidFill>
        <a:schemeClr val="accent2">
          <a:lumMod val="75000"/>
        </a:schemeClr>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hyperlink" Target="#'Procurements Analysis'!A1"/><Relationship Id="rId2" Type="http://schemas.openxmlformats.org/officeDocument/2006/relationships/image" Target="../media/image2.png"/><Relationship Id="rId1" Type="http://schemas.openxmlformats.org/officeDocument/2006/relationships/image" Target="../media/image1.jpg"/><Relationship Id="rId5" Type="http://schemas.openxmlformats.org/officeDocument/2006/relationships/hyperlink" Target="#'Suppliers Analysis'!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chart" Target="../charts/chart9.xml"/><Relationship Id="rId2" Type="http://schemas.openxmlformats.org/officeDocument/2006/relationships/hyperlink" Target="#Home!A1"/><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hyperlink" Target="#'Suppliers Analysis'!A1"/><Relationship Id="rId10" Type="http://schemas.openxmlformats.org/officeDocument/2006/relationships/chart" Target="../charts/chart12.xml"/><Relationship Id="rId4" Type="http://schemas.openxmlformats.org/officeDocument/2006/relationships/image" Target="../media/image5.png"/><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7.png"/><Relationship Id="rId7" Type="http://schemas.openxmlformats.org/officeDocument/2006/relationships/chart" Target="../charts/chart13.xml"/><Relationship Id="rId2" Type="http://schemas.openxmlformats.org/officeDocument/2006/relationships/hyperlink" Target="#Home!A1"/><Relationship Id="rId1" Type="http://schemas.openxmlformats.org/officeDocument/2006/relationships/image" Target="../media/image1.jp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png"/><Relationship Id="rId10" Type="http://schemas.openxmlformats.org/officeDocument/2006/relationships/image" Target="../media/image8.emf"/><Relationship Id="rId4" Type="http://schemas.openxmlformats.org/officeDocument/2006/relationships/hyperlink" Target="#'Procurements Analysis'!A1"/><Relationship Id="rId9"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140970</xdr:rowOff>
    </xdr:from>
    <xdr:to>
      <xdr:col>4</xdr:col>
      <xdr:colOff>1165860</xdr:colOff>
      <xdr:row>37</xdr:row>
      <xdr:rowOff>140970</xdr:rowOff>
    </xdr:to>
    <xdr:graphicFrame macro="">
      <xdr:nvGraphicFramePr>
        <xdr:cNvPr id="6" name="Chart 5">
          <a:extLst>
            <a:ext uri="{FF2B5EF4-FFF2-40B4-BE49-F238E27FC236}">
              <a16:creationId xmlns:a16="http://schemas.microsoft.com/office/drawing/2014/main" id="{DAF74D0C-7FAD-2709-62D9-12CD9F9EC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1043940</xdr:colOff>
      <xdr:row>32</xdr:row>
      <xdr:rowOff>72390</xdr:rowOff>
    </xdr:from>
    <xdr:to>
      <xdr:col>10</xdr:col>
      <xdr:colOff>472440</xdr:colOff>
      <xdr:row>45</xdr:row>
      <xdr:rowOff>0</xdr:rowOff>
    </xdr:to>
    <xdr:graphicFrame macro="">
      <xdr:nvGraphicFramePr>
        <xdr:cNvPr id="7" name="Chart 6">
          <a:extLst>
            <a:ext uri="{FF2B5EF4-FFF2-40B4-BE49-F238E27FC236}">
              <a16:creationId xmlns:a16="http://schemas.microsoft.com/office/drawing/2014/main" id="{3F977835-C0F6-B7D3-A73B-4309A62DE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21772</xdr:colOff>
      <xdr:row>31</xdr:row>
      <xdr:rowOff>108857</xdr:rowOff>
    </xdr:from>
    <xdr:to>
      <xdr:col>16</xdr:col>
      <xdr:colOff>239486</xdr:colOff>
      <xdr:row>46</xdr:row>
      <xdr:rowOff>76200</xdr:rowOff>
    </xdr:to>
    <xdr:graphicFrame macro="">
      <xdr:nvGraphicFramePr>
        <xdr:cNvPr id="11" name="Chart 10">
          <a:extLst>
            <a:ext uri="{FF2B5EF4-FFF2-40B4-BE49-F238E27FC236}">
              <a16:creationId xmlns:a16="http://schemas.microsoft.com/office/drawing/2014/main" id="{19FE1F5B-903F-C73F-91B2-D78E833EF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468085</xdr:colOff>
      <xdr:row>25</xdr:row>
      <xdr:rowOff>185056</xdr:rowOff>
    </xdr:from>
    <xdr:to>
      <xdr:col>23</xdr:col>
      <xdr:colOff>272142</xdr:colOff>
      <xdr:row>40</xdr:row>
      <xdr:rowOff>152399</xdr:rowOff>
    </xdr:to>
    <xdr:graphicFrame macro="">
      <xdr:nvGraphicFramePr>
        <xdr:cNvPr id="2" name="Chart 1">
          <a:extLst>
            <a:ext uri="{FF2B5EF4-FFF2-40B4-BE49-F238E27FC236}">
              <a16:creationId xmlns:a16="http://schemas.microsoft.com/office/drawing/2014/main" id="{97198118-29E9-2555-EE72-C3273DEC4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54429</xdr:colOff>
      <xdr:row>23</xdr:row>
      <xdr:rowOff>21772</xdr:rowOff>
    </xdr:from>
    <xdr:to>
      <xdr:col>29</xdr:col>
      <xdr:colOff>783771</xdr:colOff>
      <xdr:row>39</xdr:row>
      <xdr:rowOff>43542</xdr:rowOff>
    </xdr:to>
    <xdr:graphicFrame macro="">
      <xdr:nvGraphicFramePr>
        <xdr:cNvPr id="13" name="Chart 12">
          <a:extLst>
            <a:ext uri="{FF2B5EF4-FFF2-40B4-BE49-F238E27FC236}">
              <a16:creationId xmlns:a16="http://schemas.microsoft.com/office/drawing/2014/main" id="{50BF9958-E89F-4A43-86F2-D3574FA72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160020</xdr:colOff>
      <xdr:row>70</xdr:row>
      <xdr:rowOff>19050</xdr:rowOff>
    </xdr:from>
    <xdr:to>
      <xdr:col>3</xdr:col>
      <xdr:colOff>754380</xdr:colOff>
      <xdr:row>85</xdr:row>
      <xdr:rowOff>19050</xdr:rowOff>
    </xdr:to>
    <xdr:graphicFrame macro="">
      <xdr:nvGraphicFramePr>
        <xdr:cNvPr id="14" name="Chart 13">
          <a:extLst>
            <a:ext uri="{FF2B5EF4-FFF2-40B4-BE49-F238E27FC236}">
              <a16:creationId xmlns:a16="http://schemas.microsoft.com/office/drawing/2014/main" id="{BAA10E85-BC87-4885-6EC2-293B1F909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937260</xdr:colOff>
      <xdr:row>71</xdr:row>
      <xdr:rowOff>11430</xdr:rowOff>
    </xdr:from>
    <xdr:to>
      <xdr:col>6</xdr:col>
      <xdr:colOff>1043940</xdr:colOff>
      <xdr:row>86</xdr:row>
      <xdr:rowOff>11430</xdr:rowOff>
    </xdr:to>
    <xdr:graphicFrame macro="">
      <xdr:nvGraphicFramePr>
        <xdr:cNvPr id="15" name="Chart 14">
          <a:extLst>
            <a:ext uri="{FF2B5EF4-FFF2-40B4-BE49-F238E27FC236}">
              <a16:creationId xmlns:a16="http://schemas.microsoft.com/office/drawing/2014/main" id="{0947565A-7493-09CD-7CE2-FDFB5284A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121920</xdr:colOff>
      <xdr:row>69</xdr:row>
      <xdr:rowOff>148590</xdr:rowOff>
    </xdr:from>
    <xdr:to>
      <xdr:col>19</xdr:col>
      <xdr:colOff>213360</xdr:colOff>
      <xdr:row>80</xdr:row>
      <xdr:rowOff>144780</xdr:rowOff>
    </xdr:to>
    <xdr:graphicFrame macro="">
      <xdr:nvGraphicFramePr>
        <xdr:cNvPr id="17" name="Chart 16">
          <a:extLst>
            <a:ext uri="{FF2B5EF4-FFF2-40B4-BE49-F238E27FC236}">
              <a16:creationId xmlns:a16="http://schemas.microsoft.com/office/drawing/2014/main" id="{A9691662-0FA2-1045-7ACB-FF4F8A2F6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175260</xdr:colOff>
      <xdr:row>83</xdr:row>
      <xdr:rowOff>148590</xdr:rowOff>
    </xdr:from>
    <xdr:to>
      <xdr:col>24</xdr:col>
      <xdr:colOff>586740</xdr:colOff>
      <xdr:row>98</xdr:row>
      <xdr:rowOff>148590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C4430AC-3EAD-701B-CBD5-B4E721618A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2966680" y="153276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45720</xdr:colOff>
      <xdr:row>0</xdr:row>
      <xdr:rowOff>60960</xdr:rowOff>
    </xdr:from>
    <xdr:to>
      <xdr:col>23</xdr:col>
      <xdr:colOff>76200</xdr:colOff>
      <xdr:row>38</xdr:row>
      <xdr:rowOff>75862</xdr:rowOff>
    </xdr:to>
    <xdr:pic>
      <xdr:nvPicPr>
        <xdr:cNvPr id="2" name="Picture 1">
          <a:extLst>
            <a:ext uri="{FF2B5EF4-FFF2-40B4-BE49-F238E27FC236}">
              <a16:creationId xmlns:a16="http://schemas.microsoft.com/office/drawing/2014/main" id="{84FEFCE7-28E4-4785-AFA5-E8201A54713B}"/>
            </a:ext>
          </a:extLst>
        </xdr:cNvPr>
        <xdr:cNvPicPr>
          <a:picLocks noChangeAspect="1"/>
        </xdr:cNvPicPr>
      </xdr:nvPicPr>
      <xdr:blipFill>
        <a:blip xmlns:r="http://schemas.openxmlformats.org/officeDocument/2006/relationships" r:embed="rId1">
          <a:alphaModFix amt="50000"/>
          <a:extLst>
            <a:ext uri="{28A0092B-C50C-407E-A947-70E740481C1C}">
              <a14:useLocalDpi xmlns:a14="http://schemas.microsoft.com/office/drawing/2010/main" val="0"/>
            </a:ext>
          </a:extLst>
        </a:blip>
        <a:stretch>
          <a:fillRect/>
        </a:stretch>
      </xdr:blipFill>
      <xdr:spPr>
        <a:xfrm>
          <a:off x="45720" y="60960"/>
          <a:ext cx="14051280" cy="6964342"/>
        </a:xfrm>
        <a:prstGeom prst="rect">
          <a:avLst/>
        </a:prstGeom>
        <a:ln>
          <a:solidFill>
            <a:schemeClr val="tx1"/>
          </a:solidFill>
        </a:ln>
      </xdr:spPr>
    </xdr:pic>
    <xdr:clientData/>
  </xdr:twoCellAnchor>
  <xdr:oneCellAnchor>
    <xdr:from>
      <xdr:col>11</xdr:col>
      <xdr:colOff>15240</xdr:colOff>
      <xdr:row>3</xdr:row>
      <xdr:rowOff>91441</xdr:rowOff>
    </xdr:from>
    <xdr:ext cx="6918960" cy="792480"/>
    <xdr:sp macro="" textlink="">
      <xdr:nvSpPr>
        <xdr:cNvPr id="3" name="TextBox 2">
          <a:extLst>
            <a:ext uri="{FF2B5EF4-FFF2-40B4-BE49-F238E27FC236}">
              <a16:creationId xmlns:a16="http://schemas.microsoft.com/office/drawing/2014/main" id="{20D66D85-2A24-687F-03B8-E8DFAC46EB70}"/>
            </a:ext>
          </a:extLst>
        </xdr:cNvPr>
        <xdr:cNvSpPr txBox="1"/>
      </xdr:nvSpPr>
      <xdr:spPr>
        <a:xfrm>
          <a:off x="6720840" y="640081"/>
          <a:ext cx="6918960" cy="792480"/>
        </a:xfrm>
        <a:prstGeom prst="rect">
          <a:avLst/>
        </a:prstGeom>
        <a:noFill/>
        <a:effectLst>
          <a:outerShdw blurRad="50800" dist="50800" dir="7200000" algn="ctr" rotWithShape="0">
            <a:srgbClr val="000000">
              <a:alpha val="43137"/>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ysClr val="windowText" lastClr="000000"/>
              </a:solidFill>
              <a:effectLst>
                <a:outerShdw blurRad="50800" dist="38100" dir="2700000" algn="tl" rotWithShape="0">
                  <a:prstClr val="black">
                    <a:alpha val="40000"/>
                  </a:prstClr>
                </a:outerShdw>
              </a:effectLst>
            </a:rPr>
            <a:t>Supply Chain Procurement</a:t>
          </a:r>
          <a:r>
            <a:rPr lang="en-US" sz="3600" b="1" baseline="0">
              <a:solidFill>
                <a:sysClr val="windowText" lastClr="000000"/>
              </a:solidFill>
              <a:effectLst>
                <a:outerShdw blurRad="50800" dist="38100" dir="2700000" algn="tl" rotWithShape="0">
                  <a:prstClr val="black">
                    <a:alpha val="40000"/>
                  </a:prstClr>
                </a:outerShdw>
              </a:effectLst>
            </a:rPr>
            <a:t> Analysis</a:t>
          </a:r>
          <a:endParaRPr lang="en-US" sz="3600" b="1">
            <a:solidFill>
              <a:sysClr val="windowText" lastClr="000000"/>
            </a:solidFill>
            <a:effectLst>
              <a:outerShdw blurRad="50800" dist="38100" dir="2700000" algn="tl" rotWithShape="0">
                <a:prstClr val="black">
                  <a:alpha val="40000"/>
                </a:prstClr>
              </a:outerShdw>
            </a:effectLst>
          </a:endParaRPr>
        </a:p>
      </xdr:txBody>
    </xdr:sp>
    <xdr:clientData/>
  </xdr:oneCellAnchor>
  <xdr:twoCellAnchor>
    <xdr:from>
      <xdr:col>14</xdr:col>
      <xdr:colOff>1</xdr:colOff>
      <xdr:row>13</xdr:row>
      <xdr:rowOff>76201</xdr:rowOff>
    </xdr:from>
    <xdr:to>
      <xdr:col>15</xdr:col>
      <xdr:colOff>312421</xdr:colOff>
      <xdr:row>18</xdr:row>
      <xdr:rowOff>83821</xdr:rowOff>
    </xdr:to>
    <xdr:pic>
      <xdr:nvPicPr>
        <xdr:cNvPr id="8" name="Picture 7">
          <a:extLst>
            <a:ext uri="{FF2B5EF4-FFF2-40B4-BE49-F238E27FC236}">
              <a16:creationId xmlns:a16="http://schemas.microsoft.com/office/drawing/2014/main" id="{66945C28-259D-5351-5266-7973027BD77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34401" y="2453641"/>
          <a:ext cx="922020" cy="922020"/>
        </a:xfrm>
        <a:prstGeom prst="rect">
          <a:avLst/>
        </a:prstGeom>
        <a:noFill/>
        <a:ln>
          <a:noFill/>
        </a:ln>
        <a:effectLst>
          <a:outerShdw blurRad="50800" dist="38100" dir="2700000" algn="tl" rotWithShape="0">
            <a:prstClr val="black">
              <a:alpha val="40000"/>
            </a:prstClr>
          </a:outerShdw>
        </a:effectLst>
      </xdr:spPr>
    </xdr:pic>
    <xdr:clientData/>
  </xdr:twoCellAnchor>
  <xdr:twoCellAnchor>
    <xdr:from>
      <xdr:col>15</xdr:col>
      <xdr:colOff>533400</xdr:colOff>
      <xdr:row>14</xdr:row>
      <xdr:rowOff>114301</xdr:rowOff>
    </xdr:from>
    <xdr:to>
      <xdr:col>19</xdr:col>
      <xdr:colOff>137160</xdr:colOff>
      <xdr:row>17</xdr:row>
      <xdr:rowOff>0</xdr:rowOff>
    </xdr:to>
    <xdr:sp macro="" textlink="">
      <xdr:nvSpPr>
        <xdr:cNvPr id="9" name="TextBox 8">
          <a:hlinkClick xmlns:r="http://schemas.openxmlformats.org/officeDocument/2006/relationships" r:id="rId3"/>
          <a:extLst>
            <a:ext uri="{FF2B5EF4-FFF2-40B4-BE49-F238E27FC236}">
              <a16:creationId xmlns:a16="http://schemas.microsoft.com/office/drawing/2014/main" id="{0BB48229-093B-4B26-8C3D-C2D98BAC01C3}"/>
            </a:ext>
          </a:extLst>
        </xdr:cNvPr>
        <xdr:cNvSpPr txBox="1"/>
      </xdr:nvSpPr>
      <xdr:spPr>
        <a:xfrm>
          <a:off x="9677400" y="2674621"/>
          <a:ext cx="2042160" cy="434339"/>
        </a:xfrm>
        <a:prstGeom prst="rect">
          <a:avLst/>
        </a:prstGeom>
        <a:solidFill>
          <a:schemeClr val="accent2"/>
        </a:solidFill>
        <a:ln>
          <a:solidFill>
            <a:schemeClr val="tx1"/>
          </a:solidFill>
        </a:ln>
        <a:effectLst>
          <a:innerShdw blurRad="63500" dist="50800" dir="2700000">
            <a:prstClr val="black">
              <a:alpha val="50000"/>
            </a:prstClr>
          </a:inn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square" tIns="0" rtlCol="0" anchor="ctr" anchorCtr="0">
          <a:noAutofit/>
        </a:bodyPr>
        <a:lstStyle/>
        <a:p>
          <a:r>
            <a:rPr lang="en-US" sz="2400" b="1">
              <a:solidFill>
                <a:schemeClr val="accent2">
                  <a:lumMod val="20000"/>
                  <a:lumOff val="80000"/>
                </a:schemeClr>
              </a:solidFill>
              <a:effectLst/>
            </a:rPr>
            <a:t>Procurements</a:t>
          </a:r>
        </a:p>
      </xdr:txBody>
    </xdr:sp>
    <xdr:clientData/>
  </xdr:twoCellAnchor>
  <xdr:twoCellAnchor>
    <xdr:from>
      <xdr:col>14</xdr:col>
      <xdr:colOff>121921</xdr:colOff>
      <xdr:row>21</xdr:row>
      <xdr:rowOff>1</xdr:rowOff>
    </xdr:from>
    <xdr:to>
      <xdr:col>15</xdr:col>
      <xdr:colOff>342900</xdr:colOff>
      <xdr:row>25</xdr:row>
      <xdr:rowOff>99060</xdr:rowOff>
    </xdr:to>
    <xdr:pic>
      <xdr:nvPicPr>
        <xdr:cNvPr id="16" name="Picture 15">
          <a:extLst>
            <a:ext uri="{FF2B5EF4-FFF2-40B4-BE49-F238E27FC236}">
              <a16:creationId xmlns:a16="http://schemas.microsoft.com/office/drawing/2014/main" id="{9140A5F9-1531-9F73-A8E7-5533C84030C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56321" y="3840481"/>
          <a:ext cx="830579" cy="830579"/>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556260</xdr:colOff>
      <xdr:row>22</xdr:row>
      <xdr:rowOff>129541</xdr:rowOff>
    </xdr:from>
    <xdr:to>
      <xdr:col>19</xdr:col>
      <xdr:colOff>137159</xdr:colOff>
      <xdr:row>25</xdr:row>
      <xdr:rowOff>15240</xdr:rowOff>
    </xdr:to>
    <xdr:sp macro="" textlink="">
      <xdr:nvSpPr>
        <xdr:cNvPr id="17" name="TextBox 16">
          <a:hlinkClick xmlns:r="http://schemas.openxmlformats.org/officeDocument/2006/relationships" r:id="rId5"/>
          <a:extLst>
            <a:ext uri="{FF2B5EF4-FFF2-40B4-BE49-F238E27FC236}">
              <a16:creationId xmlns:a16="http://schemas.microsoft.com/office/drawing/2014/main" id="{75C127E4-D7DE-495E-AA0E-BEDD47690EE3}"/>
            </a:ext>
          </a:extLst>
        </xdr:cNvPr>
        <xdr:cNvSpPr txBox="1"/>
      </xdr:nvSpPr>
      <xdr:spPr>
        <a:xfrm>
          <a:off x="9700260" y="4152901"/>
          <a:ext cx="2019299" cy="434339"/>
        </a:xfrm>
        <a:prstGeom prst="rect">
          <a:avLst/>
        </a:prstGeom>
        <a:solidFill>
          <a:schemeClr val="accent2"/>
        </a:solidFill>
        <a:ln>
          <a:solidFill>
            <a:schemeClr val="tx1"/>
          </a:solidFill>
        </a:ln>
        <a:effectLst>
          <a:innerShdw blurRad="63500" dist="50800" dir="5400000">
            <a:prstClr val="black">
              <a:alpha val="50000"/>
            </a:prstClr>
          </a:inn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square" tIns="0" rtlCol="0" anchor="ctr" anchorCtr="0">
          <a:noAutofit/>
        </a:bodyPr>
        <a:lstStyle/>
        <a:p>
          <a:pPr algn="ctr"/>
          <a:r>
            <a:rPr lang="en-US" sz="2400" b="1">
              <a:solidFill>
                <a:schemeClr val="accent2">
                  <a:lumMod val="20000"/>
                  <a:lumOff val="80000"/>
                </a:schemeClr>
              </a:solidFill>
              <a:effectLst/>
            </a:rPr>
            <a:t>Suppliers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60960</xdr:rowOff>
    </xdr:from>
    <xdr:to>
      <xdr:col>23</xdr:col>
      <xdr:colOff>83820</xdr:colOff>
      <xdr:row>38</xdr:row>
      <xdr:rowOff>91317</xdr:rowOff>
    </xdr:to>
    <xdr:grpSp>
      <xdr:nvGrpSpPr>
        <xdr:cNvPr id="37" name="Group 36">
          <a:extLst>
            <a:ext uri="{FF2B5EF4-FFF2-40B4-BE49-F238E27FC236}">
              <a16:creationId xmlns:a16="http://schemas.microsoft.com/office/drawing/2014/main" id="{4717CD4C-7190-AEFB-2195-D0A7B0BD51C0}"/>
            </a:ext>
          </a:extLst>
        </xdr:cNvPr>
        <xdr:cNvGrpSpPr/>
      </xdr:nvGrpSpPr>
      <xdr:grpSpPr>
        <a:xfrm>
          <a:off x="38100" y="60960"/>
          <a:ext cx="14066520" cy="6843533"/>
          <a:chOff x="38100" y="60960"/>
          <a:chExt cx="14066520" cy="7062315"/>
        </a:xfrm>
      </xdr:grpSpPr>
      <xdr:grpSp>
        <xdr:nvGrpSpPr>
          <xdr:cNvPr id="56" name="Group 55">
            <a:extLst>
              <a:ext uri="{FF2B5EF4-FFF2-40B4-BE49-F238E27FC236}">
                <a16:creationId xmlns:a16="http://schemas.microsoft.com/office/drawing/2014/main" id="{74BF028D-6F22-4D96-66FF-D0BE6AE88ECF}"/>
              </a:ext>
            </a:extLst>
          </xdr:cNvPr>
          <xdr:cNvGrpSpPr/>
        </xdr:nvGrpSpPr>
        <xdr:grpSpPr>
          <a:xfrm>
            <a:off x="38100" y="60960"/>
            <a:ext cx="14066520" cy="7062315"/>
            <a:chOff x="38100" y="60960"/>
            <a:chExt cx="14066520" cy="7062315"/>
          </a:xfrm>
        </xdr:grpSpPr>
        <xdr:pic>
          <xdr:nvPicPr>
            <xdr:cNvPr id="6" name="Picture 5">
              <a:extLst>
                <a:ext uri="{FF2B5EF4-FFF2-40B4-BE49-F238E27FC236}">
                  <a16:creationId xmlns:a16="http://schemas.microsoft.com/office/drawing/2014/main" id="{DF35EF8B-34C2-41EA-B683-6ABFA5197B35}"/>
                </a:ext>
              </a:extLst>
            </xdr:cNvPr>
            <xdr:cNvPicPr>
              <a:picLocks noChangeAspect="1"/>
            </xdr:cNvPicPr>
          </xdr:nvPicPr>
          <xdr:blipFill>
            <a:blip xmlns:r="http://schemas.openxmlformats.org/officeDocument/2006/relationships" r:embed="rId1">
              <a:alphaModFix amt="15000"/>
              <a:extLst>
                <a:ext uri="{28A0092B-C50C-407E-A947-70E740481C1C}">
                  <a14:useLocalDpi xmlns:a14="http://schemas.microsoft.com/office/drawing/2010/main" val="0"/>
                </a:ext>
              </a:extLst>
            </a:blip>
            <a:stretch>
              <a:fillRect/>
            </a:stretch>
          </xdr:blipFill>
          <xdr:spPr>
            <a:xfrm>
              <a:off x="42676" y="76202"/>
              <a:ext cx="14058806" cy="7047073"/>
            </a:xfrm>
            <a:prstGeom prst="rect">
              <a:avLst/>
            </a:prstGeom>
            <a:ln>
              <a:solidFill>
                <a:schemeClr val="tx1"/>
              </a:solidFill>
            </a:ln>
          </xdr:spPr>
        </xdr:pic>
        <xdr:sp macro="" textlink="">
          <xdr:nvSpPr>
            <xdr:cNvPr id="39" name="Rectangle 38">
              <a:extLst>
                <a:ext uri="{FF2B5EF4-FFF2-40B4-BE49-F238E27FC236}">
                  <a16:creationId xmlns:a16="http://schemas.microsoft.com/office/drawing/2014/main" id="{F1A37603-67F9-916D-611A-24B7FD79A3E6}"/>
                </a:ext>
              </a:extLst>
            </xdr:cNvPr>
            <xdr:cNvSpPr/>
          </xdr:nvSpPr>
          <xdr:spPr>
            <a:xfrm>
              <a:off x="38100" y="60960"/>
              <a:ext cx="14066520" cy="555171"/>
            </a:xfrm>
            <a:prstGeom prst="rect">
              <a:avLst/>
            </a:prstGeom>
            <a:solidFill>
              <a:schemeClr val="accent2">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pic>
          <xdr:nvPicPr>
            <xdr:cNvPr id="7" name="Picture 6">
              <a:hlinkClick xmlns:r="http://schemas.openxmlformats.org/officeDocument/2006/relationships" r:id="rId2"/>
              <a:extLst>
                <a:ext uri="{FF2B5EF4-FFF2-40B4-BE49-F238E27FC236}">
                  <a16:creationId xmlns:a16="http://schemas.microsoft.com/office/drawing/2014/main" id="{77B3A35E-ADE8-47FC-AA09-D6CD25FB09E6}"/>
                </a:ext>
              </a:extLst>
            </xdr:cNvPr>
            <xdr:cNvPicPr>
              <a:picLocks noChangeAspect="1"/>
            </xdr:cNvPicPr>
          </xdr:nvPicPr>
          <xdr:blipFill>
            <a:blip xmlns:r="http://schemas.openxmlformats.org/officeDocument/2006/relationships" r:embed="rId3"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3571221" y="106681"/>
              <a:ext cx="457199" cy="463730"/>
            </a:xfrm>
            <a:prstGeom prst="rect">
              <a:avLst/>
            </a:prstGeom>
          </xdr:spPr>
        </xdr:pic>
        <xdr:sp macro="" textlink="">
          <xdr:nvSpPr>
            <xdr:cNvPr id="31" name="TextBox 30">
              <a:extLst>
                <a:ext uri="{FF2B5EF4-FFF2-40B4-BE49-F238E27FC236}">
                  <a16:creationId xmlns:a16="http://schemas.microsoft.com/office/drawing/2014/main" id="{BD65C9E5-7E0F-6393-E35B-BB23135DA7AF}"/>
                </a:ext>
              </a:extLst>
            </xdr:cNvPr>
            <xdr:cNvSpPr txBox="1"/>
          </xdr:nvSpPr>
          <xdr:spPr>
            <a:xfrm>
              <a:off x="60960" y="83820"/>
              <a:ext cx="309732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tx1">
                      <a:lumMod val="75000"/>
                      <a:lumOff val="25000"/>
                    </a:schemeClr>
                  </a:solidFill>
                </a:rPr>
                <a:t>Procurements Analysis</a:t>
              </a:r>
            </a:p>
          </xdr:txBody>
        </xdr:sp>
        <xdr:grpSp>
          <xdr:nvGrpSpPr>
            <xdr:cNvPr id="51" name="Group 50">
              <a:extLst>
                <a:ext uri="{FF2B5EF4-FFF2-40B4-BE49-F238E27FC236}">
                  <a16:creationId xmlns:a16="http://schemas.microsoft.com/office/drawing/2014/main" id="{20A10C32-8416-2CB8-FF4A-7F52171DBAE8}"/>
                </a:ext>
              </a:extLst>
            </xdr:cNvPr>
            <xdr:cNvGrpSpPr/>
          </xdr:nvGrpSpPr>
          <xdr:grpSpPr>
            <a:xfrm>
              <a:off x="11703147" y="152398"/>
              <a:ext cx="416168" cy="399422"/>
              <a:chOff x="12602307" y="152398"/>
              <a:chExt cx="416168" cy="392723"/>
            </a:xfrm>
          </xdr:grpSpPr>
          <xdr:pic>
            <xdr:nvPicPr>
              <xdr:cNvPr id="45" name="Picture 44">
                <a:extLst>
                  <a:ext uri="{FF2B5EF4-FFF2-40B4-BE49-F238E27FC236}">
                    <a16:creationId xmlns:a16="http://schemas.microsoft.com/office/drawing/2014/main" id="{D1D06464-E4EB-4E91-BDEB-AD0E2F484F4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32202" y="196361"/>
                <a:ext cx="327880" cy="325315"/>
              </a:xfrm>
              <a:prstGeom prst="rect">
                <a:avLst/>
              </a:prstGeom>
              <a:noFill/>
              <a:ln>
                <a:noFill/>
              </a:ln>
              <a:effectLst/>
            </xdr:spPr>
          </xdr:pic>
          <xdr:sp macro="" textlink="">
            <xdr:nvSpPr>
              <xdr:cNvPr id="46" name="Rectangle: Rounded Corners 45">
                <a:extLst>
                  <a:ext uri="{FF2B5EF4-FFF2-40B4-BE49-F238E27FC236}">
                    <a16:creationId xmlns:a16="http://schemas.microsoft.com/office/drawing/2014/main" id="{D9EDEA18-DC9E-1274-5437-1A5C9D2EE16E}"/>
                  </a:ext>
                </a:extLst>
              </xdr:cNvPr>
              <xdr:cNvSpPr/>
            </xdr:nvSpPr>
            <xdr:spPr>
              <a:xfrm>
                <a:off x="12602307" y="152398"/>
                <a:ext cx="416168" cy="3927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pSp>
        <xdr:grpSp>
          <xdr:nvGrpSpPr>
            <xdr:cNvPr id="54" name="Group 53">
              <a:hlinkClick xmlns:r="http://schemas.openxmlformats.org/officeDocument/2006/relationships" r:id="rId5"/>
              <a:extLst>
                <a:ext uri="{FF2B5EF4-FFF2-40B4-BE49-F238E27FC236}">
                  <a16:creationId xmlns:a16="http://schemas.microsoft.com/office/drawing/2014/main" id="{95D70029-E987-1827-A8A6-D63052924455}"/>
                </a:ext>
              </a:extLst>
            </xdr:cNvPr>
            <xdr:cNvGrpSpPr/>
          </xdr:nvGrpSpPr>
          <xdr:grpSpPr>
            <a:xfrm>
              <a:off x="12237713" y="152399"/>
              <a:ext cx="416168" cy="399422"/>
              <a:chOff x="11998565" y="152399"/>
              <a:chExt cx="416168" cy="392723"/>
            </a:xfrm>
            <a:effectLst/>
          </xdr:grpSpPr>
          <xdr:sp macro="" textlink="">
            <xdr:nvSpPr>
              <xdr:cNvPr id="50" name="Rectangle: Rounded Corners 49">
                <a:extLst>
                  <a:ext uri="{FF2B5EF4-FFF2-40B4-BE49-F238E27FC236}">
                    <a16:creationId xmlns:a16="http://schemas.microsoft.com/office/drawing/2014/main" id="{A5CBC588-3199-4A6F-AF60-69F277F0CE0D}"/>
                  </a:ext>
                </a:extLst>
              </xdr:cNvPr>
              <xdr:cNvSpPr/>
            </xdr:nvSpPr>
            <xdr:spPr>
              <a:xfrm>
                <a:off x="11998565" y="152399"/>
                <a:ext cx="416168" cy="392723"/>
              </a:xfrm>
              <a:prstGeom prst="roundRect">
                <a:avLst/>
              </a:prstGeom>
              <a:noFill/>
              <a:ln>
                <a:solidFill>
                  <a:schemeClr val="tx1"/>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pic>
            <xdr:nvPicPr>
              <xdr:cNvPr id="52" name="Picture 51">
                <a:extLst>
                  <a:ext uri="{FF2B5EF4-FFF2-40B4-BE49-F238E27FC236}">
                    <a16:creationId xmlns:a16="http://schemas.microsoft.com/office/drawing/2014/main" id="{DFCA8000-6F39-450E-94FA-19C1B6D3722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054255" y="199293"/>
                <a:ext cx="293076" cy="293076"/>
              </a:xfrm>
              <a:prstGeom prst="rect">
                <a:avLst/>
              </a:prstGeom>
              <a:effectLst/>
            </xdr:spPr>
          </xdr:pic>
        </xdr:grpSp>
      </xdr:grpSp>
      <xdr:grpSp>
        <xdr:nvGrpSpPr>
          <xdr:cNvPr id="36" name="Group 35">
            <a:extLst>
              <a:ext uri="{FF2B5EF4-FFF2-40B4-BE49-F238E27FC236}">
                <a16:creationId xmlns:a16="http://schemas.microsoft.com/office/drawing/2014/main" id="{8C46B9FB-D876-A37A-4B69-2B3FB8DAF3D3}"/>
              </a:ext>
            </a:extLst>
          </xdr:cNvPr>
          <xdr:cNvGrpSpPr/>
        </xdr:nvGrpSpPr>
        <xdr:grpSpPr>
          <a:xfrm>
            <a:off x="12825354" y="631371"/>
            <a:ext cx="1264603" cy="6462427"/>
            <a:chOff x="14523525" y="490860"/>
            <a:chExt cx="1264603" cy="7057792"/>
          </a:xfrm>
        </xdr:grpSpPr>
        <xdr:sp macro="" textlink="">
          <xdr:nvSpPr>
            <xdr:cNvPr id="35" name="Rectangle 34">
              <a:extLst>
                <a:ext uri="{FF2B5EF4-FFF2-40B4-BE49-F238E27FC236}">
                  <a16:creationId xmlns:a16="http://schemas.microsoft.com/office/drawing/2014/main" id="{67E52B22-FBF1-762C-F10B-FECBC8DF95B1}"/>
                </a:ext>
              </a:extLst>
            </xdr:cNvPr>
            <xdr:cNvSpPr/>
          </xdr:nvSpPr>
          <xdr:spPr>
            <a:xfrm>
              <a:off x="14527561" y="490860"/>
              <a:ext cx="1260567" cy="70577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3EE8F704-8828-4F04-853D-6674AF4E3C99}"/>
                    </a:ext>
                  </a:extLst>
                </xdr:cNvPr>
                <xdr:cNvGraphicFramePr/>
              </xdr:nvGraphicFramePr>
              <xdr:xfrm>
                <a:off x="14523525" y="2869286"/>
                <a:ext cx="1258199" cy="4558122"/>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825354" y="2724027"/>
                  <a:ext cx="1258199" cy="4044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3</xdr:col>
      <xdr:colOff>327660</xdr:colOff>
      <xdr:row>4</xdr:row>
      <xdr:rowOff>91440</xdr:rowOff>
    </xdr:from>
    <xdr:to>
      <xdr:col>9</xdr:col>
      <xdr:colOff>411480</xdr:colOff>
      <xdr:row>19</xdr:row>
      <xdr:rowOff>99060</xdr:rowOff>
    </xdr:to>
    <xdr:graphicFrame macro="">
      <xdr:nvGraphicFramePr>
        <xdr:cNvPr id="38" name="Chart 37">
          <a:extLst>
            <a:ext uri="{FF2B5EF4-FFF2-40B4-BE49-F238E27FC236}">
              <a16:creationId xmlns:a16="http://schemas.microsoft.com/office/drawing/2014/main" id="{A53CF2F9-139E-458B-A31C-64298E2A9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43543</xdr:colOff>
      <xdr:row>4</xdr:row>
      <xdr:rowOff>108856</xdr:rowOff>
    </xdr:from>
    <xdr:to>
      <xdr:col>20</xdr:col>
      <xdr:colOff>555171</xdr:colOff>
      <xdr:row>19</xdr:row>
      <xdr:rowOff>97971</xdr:rowOff>
    </xdr:to>
    <xdr:graphicFrame macro="">
      <xdr:nvGraphicFramePr>
        <xdr:cNvPr id="69" name="Chart 68">
          <a:extLst>
            <a:ext uri="{FF2B5EF4-FFF2-40B4-BE49-F238E27FC236}">
              <a16:creationId xmlns:a16="http://schemas.microsoft.com/office/drawing/2014/main" id="{B4E32C6D-597A-4688-99B9-3F336B72E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326571</xdr:colOff>
      <xdr:row>20</xdr:row>
      <xdr:rowOff>141513</xdr:rowOff>
    </xdr:from>
    <xdr:to>
      <xdr:col>14</xdr:col>
      <xdr:colOff>76200</xdr:colOff>
      <xdr:row>37</xdr:row>
      <xdr:rowOff>10885</xdr:rowOff>
    </xdr:to>
    <xdr:graphicFrame macro="">
      <xdr:nvGraphicFramePr>
        <xdr:cNvPr id="2" name="Chart 1">
          <a:extLst>
            <a:ext uri="{FF2B5EF4-FFF2-40B4-BE49-F238E27FC236}">
              <a16:creationId xmlns:a16="http://schemas.microsoft.com/office/drawing/2014/main" id="{701B1824-8680-49C0-9931-38BE7E87D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114300</xdr:colOff>
      <xdr:row>4</xdr:row>
      <xdr:rowOff>91440</xdr:rowOff>
    </xdr:from>
    <xdr:to>
      <xdr:col>3</xdr:col>
      <xdr:colOff>121920</xdr:colOff>
      <xdr:row>36</xdr:row>
      <xdr:rowOff>124216</xdr:rowOff>
    </xdr:to>
    <xdr:grpSp>
      <xdr:nvGrpSpPr>
        <xdr:cNvPr id="32" name="Group 31">
          <a:extLst>
            <a:ext uri="{FF2B5EF4-FFF2-40B4-BE49-F238E27FC236}">
              <a16:creationId xmlns:a16="http://schemas.microsoft.com/office/drawing/2014/main" id="{2D035A7D-169C-9632-2EE1-AF4E78D92A18}"/>
            </a:ext>
          </a:extLst>
        </xdr:cNvPr>
        <xdr:cNvGrpSpPr/>
      </xdr:nvGrpSpPr>
      <xdr:grpSpPr>
        <a:xfrm>
          <a:off x="114300" y="808616"/>
          <a:ext cx="1836420" cy="5770188"/>
          <a:chOff x="114300" y="831669"/>
          <a:chExt cx="1836420" cy="5954604"/>
        </a:xfrm>
      </xdr:grpSpPr>
      <xdr:grpSp>
        <xdr:nvGrpSpPr>
          <xdr:cNvPr id="29" name="Group 28">
            <a:extLst>
              <a:ext uri="{FF2B5EF4-FFF2-40B4-BE49-F238E27FC236}">
                <a16:creationId xmlns:a16="http://schemas.microsoft.com/office/drawing/2014/main" id="{FA3ADF53-6F12-D095-ED59-BF764C9F64C8}"/>
              </a:ext>
            </a:extLst>
          </xdr:cNvPr>
          <xdr:cNvGrpSpPr/>
        </xdr:nvGrpSpPr>
        <xdr:grpSpPr>
          <a:xfrm>
            <a:off x="114300" y="831669"/>
            <a:ext cx="1836420" cy="4927962"/>
            <a:chOff x="114300" y="822960"/>
            <a:chExt cx="1836420" cy="4869180"/>
          </a:xfrm>
        </xdr:grpSpPr>
        <xdr:grpSp>
          <xdr:nvGrpSpPr>
            <xdr:cNvPr id="24" name="Group 23">
              <a:extLst>
                <a:ext uri="{FF2B5EF4-FFF2-40B4-BE49-F238E27FC236}">
                  <a16:creationId xmlns:a16="http://schemas.microsoft.com/office/drawing/2014/main" id="{F0ADE4A5-788B-271A-C0B6-D7796F957FB2}"/>
                </a:ext>
              </a:extLst>
            </xdr:cNvPr>
            <xdr:cNvGrpSpPr/>
          </xdr:nvGrpSpPr>
          <xdr:grpSpPr>
            <a:xfrm>
              <a:off x="144780" y="822960"/>
              <a:ext cx="1699260" cy="731520"/>
              <a:chOff x="144780" y="822960"/>
              <a:chExt cx="1699260" cy="731520"/>
            </a:xfrm>
          </xdr:grpSpPr>
          <xdr:sp macro="" textlink="">
            <xdr:nvSpPr>
              <xdr:cNvPr id="9" name="Rectangle: Rounded Corners 8">
                <a:extLst>
                  <a:ext uri="{FF2B5EF4-FFF2-40B4-BE49-F238E27FC236}">
                    <a16:creationId xmlns:a16="http://schemas.microsoft.com/office/drawing/2014/main" id="{B9A7116A-E816-DB6D-BBD4-6FCB1CCA1061}"/>
                  </a:ext>
                </a:extLst>
              </xdr:cNvPr>
              <xdr:cNvSpPr/>
            </xdr:nvSpPr>
            <xdr:spPr>
              <a:xfrm>
                <a:off x="251460" y="822960"/>
                <a:ext cx="1562100" cy="731520"/>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F$2">
            <xdr:nvSpPr>
              <xdr:cNvPr id="14" name="TextBox 13">
                <a:extLst>
                  <a:ext uri="{FF2B5EF4-FFF2-40B4-BE49-F238E27FC236}">
                    <a16:creationId xmlns:a16="http://schemas.microsoft.com/office/drawing/2014/main" id="{C8EA5045-7519-B4F0-313E-75FBEFC6F646}"/>
                  </a:ext>
                </a:extLst>
              </xdr:cNvPr>
              <xdr:cNvSpPr txBox="1"/>
            </xdr:nvSpPr>
            <xdr:spPr>
              <a:xfrm>
                <a:off x="518160" y="883920"/>
                <a:ext cx="1097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7C264A-7EBE-4D97-987C-7ED1CE7551E1}" type="TxLink">
                  <a:rPr lang="en-US" sz="1400" b="1" i="0" u="none" strike="noStrike">
                    <a:solidFill>
                      <a:schemeClr val="accent2">
                        <a:lumMod val="75000"/>
                      </a:schemeClr>
                    </a:solidFill>
                    <a:latin typeface="Calibri"/>
                    <a:ea typeface="Calibri"/>
                    <a:cs typeface="Calibri"/>
                  </a:rPr>
                  <a:pPr algn="ctr"/>
                  <a:t>Total Cost</a:t>
                </a:fld>
                <a:endParaRPr lang="en-US" sz="1400" b="1">
                  <a:solidFill>
                    <a:schemeClr val="accent2">
                      <a:lumMod val="75000"/>
                    </a:schemeClr>
                  </a:solidFill>
                </a:endParaRPr>
              </a:p>
            </xdr:txBody>
          </xdr:sp>
          <xdr:sp macro="" textlink="PivotTables!$F$3">
            <xdr:nvSpPr>
              <xdr:cNvPr id="15" name="TextBox 14">
                <a:extLst>
                  <a:ext uri="{FF2B5EF4-FFF2-40B4-BE49-F238E27FC236}">
                    <a16:creationId xmlns:a16="http://schemas.microsoft.com/office/drawing/2014/main" id="{D124F5D9-614A-47C2-81B3-24D433C2D48F}"/>
                  </a:ext>
                </a:extLst>
              </xdr:cNvPr>
              <xdr:cNvSpPr txBox="1"/>
            </xdr:nvSpPr>
            <xdr:spPr>
              <a:xfrm>
                <a:off x="144780" y="1127760"/>
                <a:ext cx="16992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942341-D684-4239-BFB2-2FA58B557045}" type="TxLink">
                  <a:rPr lang="en-US" sz="2000" b="1" i="0" u="none" strike="noStrike">
                    <a:solidFill>
                      <a:srgbClr val="000000"/>
                    </a:solidFill>
                    <a:latin typeface="Calibri"/>
                    <a:ea typeface="Calibri"/>
                    <a:cs typeface="Calibri"/>
                  </a:rPr>
                  <a:pPr algn="ctr"/>
                  <a:t> $40,836,578 </a:t>
                </a:fld>
                <a:endParaRPr lang="en-US" sz="2000" b="1"/>
              </a:p>
            </xdr:txBody>
          </xdr:sp>
        </xdr:grpSp>
        <xdr:grpSp>
          <xdr:nvGrpSpPr>
            <xdr:cNvPr id="25" name="Group 24">
              <a:extLst>
                <a:ext uri="{FF2B5EF4-FFF2-40B4-BE49-F238E27FC236}">
                  <a16:creationId xmlns:a16="http://schemas.microsoft.com/office/drawing/2014/main" id="{83272C87-A5CA-B670-9715-792B302DBFDD}"/>
                </a:ext>
              </a:extLst>
            </xdr:cNvPr>
            <xdr:cNvGrpSpPr/>
          </xdr:nvGrpSpPr>
          <xdr:grpSpPr>
            <a:xfrm>
              <a:off x="129540" y="1857375"/>
              <a:ext cx="1821180" cy="731520"/>
              <a:chOff x="129540" y="1857375"/>
              <a:chExt cx="1821180" cy="731520"/>
            </a:xfrm>
          </xdr:grpSpPr>
          <xdr:sp macro="" textlink="">
            <xdr:nvSpPr>
              <xdr:cNvPr id="10" name="Rectangle: Rounded Corners 9">
                <a:extLst>
                  <a:ext uri="{FF2B5EF4-FFF2-40B4-BE49-F238E27FC236}">
                    <a16:creationId xmlns:a16="http://schemas.microsoft.com/office/drawing/2014/main" id="{5316717F-E43A-4125-8242-174A850F2505}"/>
                  </a:ext>
                </a:extLst>
              </xdr:cNvPr>
              <xdr:cNvSpPr/>
            </xdr:nvSpPr>
            <xdr:spPr>
              <a:xfrm>
                <a:off x="251460" y="1857375"/>
                <a:ext cx="1562100" cy="731520"/>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B$2">
            <xdr:nvSpPr>
              <xdr:cNvPr id="16" name="TextBox 15">
                <a:extLst>
                  <a:ext uri="{FF2B5EF4-FFF2-40B4-BE49-F238E27FC236}">
                    <a16:creationId xmlns:a16="http://schemas.microsoft.com/office/drawing/2014/main" id="{A978CD17-ED76-4879-A175-F5F48A80E9D2}"/>
                  </a:ext>
                </a:extLst>
              </xdr:cNvPr>
              <xdr:cNvSpPr txBox="1"/>
            </xdr:nvSpPr>
            <xdr:spPr>
              <a:xfrm>
                <a:off x="350520" y="1882140"/>
                <a:ext cx="14020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CEB9CC-C54A-4945-AE2A-CD812E5F6588}" type="TxLink">
                  <a:rPr lang="en-US" sz="1400" b="1" i="0" u="none" strike="noStrike">
                    <a:solidFill>
                      <a:schemeClr val="accent2">
                        <a:lumMod val="75000"/>
                      </a:schemeClr>
                    </a:solidFill>
                    <a:latin typeface="Calibri"/>
                    <a:ea typeface="Calibri"/>
                    <a:cs typeface="Calibri"/>
                  </a:rPr>
                  <a:pPr algn="ctr"/>
                  <a:t>Procurements</a:t>
                </a:fld>
                <a:endParaRPr lang="en-US" sz="1400" b="1">
                  <a:solidFill>
                    <a:schemeClr val="accent2">
                      <a:lumMod val="75000"/>
                    </a:schemeClr>
                  </a:solidFill>
                </a:endParaRPr>
              </a:p>
            </xdr:txBody>
          </xdr:sp>
          <xdr:sp macro="" textlink="PivotTables!$B$3">
            <xdr:nvSpPr>
              <xdr:cNvPr id="17" name="TextBox 16">
                <a:extLst>
                  <a:ext uri="{FF2B5EF4-FFF2-40B4-BE49-F238E27FC236}">
                    <a16:creationId xmlns:a16="http://schemas.microsoft.com/office/drawing/2014/main" id="{43BA9DB5-6DC0-4F3D-A0D5-8978E6033192}"/>
                  </a:ext>
                </a:extLst>
              </xdr:cNvPr>
              <xdr:cNvSpPr txBox="1"/>
            </xdr:nvSpPr>
            <xdr:spPr>
              <a:xfrm>
                <a:off x="129540" y="2125980"/>
                <a:ext cx="18211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BC063E-7FD4-42E7-B31B-A23529D10795}" type="TxLink">
                  <a:rPr lang="en-US" sz="2000" b="1" i="0" u="none" strike="noStrike">
                    <a:solidFill>
                      <a:srgbClr val="000000"/>
                    </a:solidFill>
                    <a:latin typeface="Calibri"/>
                    <a:ea typeface="Calibri"/>
                    <a:cs typeface="Calibri"/>
                  </a:rPr>
                  <a:pPr algn="ctr"/>
                  <a:t>690</a:t>
                </a:fld>
                <a:endParaRPr lang="en-US" sz="2000" b="1"/>
              </a:p>
            </xdr:txBody>
          </xdr:sp>
        </xdr:grpSp>
        <xdr:grpSp>
          <xdr:nvGrpSpPr>
            <xdr:cNvPr id="26" name="Group 25">
              <a:extLst>
                <a:ext uri="{FF2B5EF4-FFF2-40B4-BE49-F238E27FC236}">
                  <a16:creationId xmlns:a16="http://schemas.microsoft.com/office/drawing/2014/main" id="{A0E56AF0-81F4-AEE2-A9FE-C5CE1295BED1}"/>
                </a:ext>
              </a:extLst>
            </xdr:cNvPr>
            <xdr:cNvGrpSpPr/>
          </xdr:nvGrpSpPr>
          <xdr:grpSpPr>
            <a:xfrm>
              <a:off x="137160" y="2891790"/>
              <a:ext cx="1744980" cy="731520"/>
              <a:chOff x="137160" y="2891790"/>
              <a:chExt cx="1744980" cy="731520"/>
            </a:xfrm>
          </xdr:grpSpPr>
          <xdr:sp macro="" textlink="">
            <xdr:nvSpPr>
              <xdr:cNvPr id="11" name="Rectangle: Rounded Corners 10">
                <a:extLst>
                  <a:ext uri="{FF2B5EF4-FFF2-40B4-BE49-F238E27FC236}">
                    <a16:creationId xmlns:a16="http://schemas.microsoft.com/office/drawing/2014/main" id="{12EE7EFC-CD52-4EF7-B997-29F47A17A3F8}"/>
                  </a:ext>
                </a:extLst>
              </xdr:cNvPr>
              <xdr:cNvSpPr/>
            </xdr:nvSpPr>
            <xdr:spPr>
              <a:xfrm>
                <a:off x="251460" y="2891790"/>
                <a:ext cx="1562100" cy="731520"/>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G$2">
            <xdr:nvSpPr>
              <xdr:cNvPr id="18" name="TextBox 17">
                <a:extLst>
                  <a:ext uri="{FF2B5EF4-FFF2-40B4-BE49-F238E27FC236}">
                    <a16:creationId xmlns:a16="http://schemas.microsoft.com/office/drawing/2014/main" id="{AA2AC99E-CDF5-4EE8-A62D-2017BEECF6F4}"/>
                  </a:ext>
                </a:extLst>
              </xdr:cNvPr>
              <xdr:cNvSpPr txBox="1"/>
            </xdr:nvSpPr>
            <xdr:spPr>
              <a:xfrm>
                <a:off x="510540" y="2941320"/>
                <a:ext cx="1097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1A5CBC-22CB-45C2-ABB3-D97E45BD294C}" type="TxLink">
                  <a:rPr lang="en-US" sz="1400" b="1" i="0" u="none" strike="noStrike">
                    <a:solidFill>
                      <a:schemeClr val="accent2">
                        <a:lumMod val="75000"/>
                      </a:schemeClr>
                    </a:solidFill>
                    <a:latin typeface="Calibri"/>
                    <a:ea typeface="Calibri"/>
                    <a:cs typeface="Calibri"/>
                  </a:rPr>
                  <a:pPr algn="ctr"/>
                  <a:t>Cost Savings</a:t>
                </a:fld>
                <a:endParaRPr lang="en-US" sz="1400" b="1">
                  <a:solidFill>
                    <a:schemeClr val="accent2">
                      <a:lumMod val="75000"/>
                    </a:schemeClr>
                  </a:solidFill>
                </a:endParaRPr>
              </a:p>
            </xdr:txBody>
          </xdr:sp>
          <xdr:sp macro="" textlink="PivotTables!$G$3">
            <xdr:nvSpPr>
              <xdr:cNvPr id="19" name="TextBox 18">
                <a:extLst>
                  <a:ext uri="{FF2B5EF4-FFF2-40B4-BE49-F238E27FC236}">
                    <a16:creationId xmlns:a16="http://schemas.microsoft.com/office/drawing/2014/main" id="{9255604C-C0BB-40D5-A39E-062E1262E280}"/>
                  </a:ext>
                </a:extLst>
              </xdr:cNvPr>
              <xdr:cNvSpPr txBox="1"/>
            </xdr:nvSpPr>
            <xdr:spPr>
              <a:xfrm>
                <a:off x="137160" y="3185160"/>
                <a:ext cx="17449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C34E45-A5DA-49F7-8796-9FC4B145A519}" type="TxLink">
                  <a:rPr lang="en-US" sz="2000" b="1" i="0" u="none" strike="noStrike">
                    <a:solidFill>
                      <a:srgbClr val="000000"/>
                    </a:solidFill>
                    <a:latin typeface="Calibri"/>
                    <a:ea typeface="Calibri"/>
                    <a:cs typeface="Calibri"/>
                  </a:rPr>
                  <a:pPr algn="ctr"/>
                  <a:t> $3,513,248 </a:t>
                </a:fld>
                <a:endParaRPr lang="en-US" sz="2000" b="1"/>
              </a:p>
            </xdr:txBody>
          </xdr:sp>
        </xdr:grpSp>
        <xdr:grpSp>
          <xdr:nvGrpSpPr>
            <xdr:cNvPr id="27" name="Group 26">
              <a:extLst>
                <a:ext uri="{FF2B5EF4-FFF2-40B4-BE49-F238E27FC236}">
                  <a16:creationId xmlns:a16="http://schemas.microsoft.com/office/drawing/2014/main" id="{56599C7D-3F70-2B2D-6F30-E2727FD34302}"/>
                </a:ext>
              </a:extLst>
            </xdr:cNvPr>
            <xdr:cNvGrpSpPr/>
          </xdr:nvGrpSpPr>
          <xdr:grpSpPr>
            <a:xfrm>
              <a:off x="114300" y="3926205"/>
              <a:ext cx="1699260" cy="731520"/>
              <a:chOff x="114300" y="3926205"/>
              <a:chExt cx="1699260" cy="731520"/>
            </a:xfrm>
          </xdr:grpSpPr>
          <xdr:sp macro="" textlink="">
            <xdr:nvSpPr>
              <xdr:cNvPr id="12" name="Rectangle: Rounded Corners 11">
                <a:extLst>
                  <a:ext uri="{FF2B5EF4-FFF2-40B4-BE49-F238E27FC236}">
                    <a16:creationId xmlns:a16="http://schemas.microsoft.com/office/drawing/2014/main" id="{92C3DD97-C082-43AF-A48C-288C6FCB54AF}"/>
                  </a:ext>
                </a:extLst>
              </xdr:cNvPr>
              <xdr:cNvSpPr/>
            </xdr:nvSpPr>
            <xdr:spPr>
              <a:xfrm>
                <a:off x="251460" y="3926205"/>
                <a:ext cx="1562100" cy="731520"/>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H$2">
            <xdr:nvSpPr>
              <xdr:cNvPr id="20" name="TextBox 19">
                <a:extLst>
                  <a:ext uri="{FF2B5EF4-FFF2-40B4-BE49-F238E27FC236}">
                    <a16:creationId xmlns:a16="http://schemas.microsoft.com/office/drawing/2014/main" id="{D008D526-16FD-4271-96DD-850132D3AC02}"/>
                  </a:ext>
                </a:extLst>
              </xdr:cNvPr>
              <xdr:cNvSpPr txBox="1"/>
            </xdr:nvSpPr>
            <xdr:spPr>
              <a:xfrm>
                <a:off x="281940" y="3962400"/>
                <a:ext cx="15087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006B42-1C5F-49FA-B64A-2F503A76B48C}" type="TxLink">
                  <a:rPr lang="en-US" sz="1400" b="1" i="0" u="none" strike="noStrike">
                    <a:solidFill>
                      <a:schemeClr val="accent2">
                        <a:lumMod val="75000"/>
                      </a:schemeClr>
                    </a:solidFill>
                    <a:latin typeface="Calibri"/>
                    <a:ea typeface="Calibri"/>
                    <a:cs typeface="Calibri"/>
                  </a:rPr>
                  <a:pPr algn="ctr"/>
                  <a:t>Avg Order Cost</a:t>
                </a:fld>
                <a:endParaRPr lang="en-US" sz="1400" b="1">
                  <a:solidFill>
                    <a:schemeClr val="accent2">
                      <a:lumMod val="75000"/>
                    </a:schemeClr>
                  </a:solidFill>
                </a:endParaRPr>
              </a:p>
            </xdr:txBody>
          </xdr:sp>
          <xdr:sp macro="" textlink="PivotTables!$H$3">
            <xdr:nvSpPr>
              <xdr:cNvPr id="21" name="TextBox 20">
                <a:extLst>
                  <a:ext uri="{FF2B5EF4-FFF2-40B4-BE49-F238E27FC236}">
                    <a16:creationId xmlns:a16="http://schemas.microsoft.com/office/drawing/2014/main" id="{C286E247-551E-42C7-8116-BD4A20E1D2A8}"/>
                  </a:ext>
                </a:extLst>
              </xdr:cNvPr>
              <xdr:cNvSpPr txBox="1"/>
            </xdr:nvSpPr>
            <xdr:spPr>
              <a:xfrm>
                <a:off x="114300" y="4206240"/>
                <a:ext cx="16992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EF6FA3-41FB-43C8-A98C-934C3832E3D7}" type="TxLink">
                  <a:rPr lang="en-US" sz="2000" b="1" i="0" u="none" strike="noStrike">
                    <a:solidFill>
                      <a:sysClr val="windowText" lastClr="000000"/>
                    </a:solidFill>
                    <a:latin typeface="Calibri"/>
                    <a:ea typeface="Calibri"/>
                    <a:cs typeface="Calibri"/>
                  </a:rPr>
                  <a:pPr algn="ctr"/>
                  <a:t> $59,183 </a:t>
                </a:fld>
                <a:endParaRPr lang="en-US" sz="2000" b="1">
                  <a:solidFill>
                    <a:sysClr val="windowText" lastClr="000000"/>
                  </a:solidFill>
                </a:endParaRPr>
              </a:p>
            </xdr:txBody>
          </xdr:sp>
        </xdr:grpSp>
        <xdr:grpSp>
          <xdr:nvGrpSpPr>
            <xdr:cNvPr id="28" name="Group 27">
              <a:extLst>
                <a:ext uri="{FF2B5EF4-FFF2-40B4-BE49-F238E27FC236}">
                  <a16:creationId xmlns:a16="http://schemas.microsoft.com/office/drawing/2014/main" id="{DCE91AE0-64B4-7BD0-F028-921F08CD9E17}"/>
                </a:ext>
              </a:extLst>
            </xdr:cNvPr>
            <xdr:cNvGrpSpPr/>
          </xdr:nvGrpSpPr>
          <xdr:grpSpPr>
            <a:xfrm>
              <a:off x="144780" y="4960620"/>
              <a:ext cx="1805940" cy="731520"/>
              <a:chOff x="144780" y="4960620"/>
              <a:chExt cx="1805940" cy="731520"/>
            </a:xfrm>
          </xdr:grpSpPr>
          <xdr:sp macro="" textlink="">
            <xdr:nvSpPr>
              <xdr:cNvPr id="13" name="Rectangle: Rounded Corners 12">
                <a:extLst>
                  <a:ext uri="{FF2B5EF4-FFF2-40B4-BE49-F238E27FC236}">
                    <a16:creationId xmlns:a16="http://schemas.microsoft.com/office/drawing/2014/main" id="{6BD0D5BC-0CDB-4EF0-BA5E-2548E7871956}"/>
                  </a:ext>
                </a:extLst>
              </xdr:cNvPr>
              <xdr:cNvSpPr/>
            </xdr:nvSpPr>
            <xdr:spPr>
              <a:xfrm>
                <a:off x="251460" y="4960620"/>
                <a:ext cx="1562100" cy="731520"/>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D$2">
            <xdr:nvSpPr>
              <xdr:cNvPr id="22" name="TextBox 21">
                <a:extLst>
                  <a:ext uri="{FF2B5EF4-FFF2-40B4-BE49-F238E27FC236}">
                    <a16:creationId xmlns:a16="http://schemas.microsoft.com/office/drawing/2014/main" id="{53CB5036-C6C8-47DB-B107-1797A66F33CA}"/>
                  </a:ext>
                </a:extLst>
              </xdr:cNvPr>
              <xdr:cNvSpPr txBox="1"/>
            </xdr:nvSpPr>
            <xdr:spPr>
              <a:xfrm>
                <a:off x="312420" y="50139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F33506-7911-4D65-B19C-06EE5DB3DE73}" type="TxLink">
                  <a:rPr lang="en-US" sz="1400" b="1" i="0" u="none" strike="noStrike">
                    <a:solidFill>
                      <a:schemeClr val="accent2">
                        <a:lumMod val="75000"/>
                      </a:schemeClr>
                    </a:solidFill>
                    <a:latin typeface="Calibri"/>
                    <a:ea typeface="Calibri"/>
                    <a:cs typeface="Calibri"/>
                  </a:rPr>
                  <a:pPr algn="ctr"/>
                  <a:t>Item Categories</a:t>
                </a:fld>
                <a:endParaRPr lang="en-US" sz="1400" b="1">
                  <a:solidFill>
                    <a:schemeClr val="accent2">
                      <a:lumMod val="75000"/>
                    </a:schemeClr>
                  </a:solidFill>
                </a:endParaRPr>
              </a:p>
            </xdr:txBody>
          </xdr:sp>
          <xdr:sp macro="" textlink="PivotTables!$D$3">
            <xdr:nvSpPr>
              <xdr:cNvPr id="23" name="TextBox 22">
                <a:extLst>
                  <a:ext uri="{FF2B5EF4-FFF2-40B4-BE49-F238E27FC236}">
                    <a16:creationId xmlns:a16="http://schemas.microsoft.com/office/drawing/2014/main" id="{032582BA-EFEC-49BA-A1E5-EE9444520E0B}"/>
                  </a:ext>
                </a:extLst>
              </xdr:cNvPr>
              <xdr:cNvSpPr txBox="1"/>
            </xdr:nvSpPr>
            <xdr:spPr>
              <a:xfrm>
                <a:off x="144780" y="5257800"/>
                <a:ext cx="18059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E7E17B-1D43-47D8-A316-0F860DE458A9}" type="TxLink">
                  <a:rPr lang="en-US" sz="2000" b="1" i="0" u="none" strike="noStrike">
                    <a:solidFill>
                      <a:srgbClr val="000000"/>
                    </a:solidFill>
                    <a:latin typeface="Calibri"/>
                    <a:ea typeface="Calibri"/>
                    <a:cs typeface="Calibri"/>
                  </a:rPr>
                  <a:pPr algn="ctr"/>
                  <a:t>5</a:t>
                </a:fld>
                <a:endParaRPr lang="en-US" sz="2000" b="1"/>
              </a:p>
            </xdr:txBody>
          </xdr:sp>
        </xdr:grpSp>
      </xdr:grpSp>
      <xdr:grpSp>
        <xdr:nvGrpSpPr>
          <xdr:cNvPr id="8" name="Group 7">
            <a:extLst>
              <a:ext uri="{FF2B5EF4-FFF2-40B4-BE49-F238E27FC236}">
                <a16:creationId xmlns:a16="http://schemas.microsoft.com/office/drawing/2014/main" id="{F0B9FC73-AAD6-C293-58AD-B9AA138AF661}"/>
              </a:ext>
            </a:extLst>
          </xdr:cNvPr>
          <xdr:cNvGrpSpPr/>
        </xdr:nvGrpSpPr>
        <xdr:grpSpPr>
          <a:xfrm>
            <a:off x="146958" y="6045922"/>
            <a:ext cx="1744980" cy="740351"/>
            <a:chOff x="157844" y="6045922"/>
            <a:chExt cx="1744980" cy="740351"/>
          </a:xfrm>
        </xdr:grpSpPr>
        <xdr:sp macro="" textlink="">
          <xdr:nvSpPr>
            <xdr:cNvPr id="3" name="Rectangle: Rounded Corners 2">
              <a:extLst>
                <a:ext uri="{FF2B5EF4-FFF2-40B4-BE49-F238E27FC236}">
                  <a16:creationId xmlns:a16="http://schemas.microsoft.com/office/drawing/2014/main" id="{1D389D37-D188-41E1-A3F7-962FDE808FBC}"/>
                </a:ext>
              </a:extLst>
            </xdr:cNvPr>
            <xdr:cNvSpPr/>
          </xdr:nvSpPr>
          <xdr:spPr>
            <a:xfrm>
              <a:off x="272144" y="6045922"/>
              <a:ext cx="1562100" cy="740351"/>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I$2">
          <xdr:nvSpPr>
            <xdr:cNvPr id="4" name="TextBox 3">
              <a:extLst>
                <a:ext uri="{FF2B5EF4-FFF2-40B4-BE49-F238E27FC236}">
                  <a16:creationId xmlns:a16="http://schemas.microsoft.com/office/drawing/2014/main" id="{E87A2A44-B2CA-4BB0-BF4E-638D07335E0A}"/>
                </a:ext>
              </a:extLst>
            </xdr:cNvPr>
            <xdr:cNvSpPr txBox="1"/>
          </xdr:nvSpPr>
          <xdr:spPr>
            <a:xfrm>
              <a:off x="531224" y="6096050"/>
              <a:ext cx="1097280" cy="339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9B2A64-9CCC-4FEE-BFB4-E66A747399D8}" type="TxLink">
                <a:rPr lang="en-US" sz="1400" b="1" i="0" u="none" strike="noStrike">
                  <a:solidFill>
                    <a:schemeClr val="accent2">
                      <a:lumMod val="75000"/>
                    </a:schemeClr>
                  </a:solidFill>
                  <a:latin typeface="Calibri"/>
                  <a:ea typeface="Calibri"/>
                  <a:cs typeface="Calibri"/>
                </a:rPr>
                <a:pPr algn="ctr"/>
                <a:t>Defective Units</a:t>
              </a:fld>
              <a:endParaRPr lang="en-US" sz="1400" b="1">
                <a:solidFill>
                  <a:schemeClr val="accent2">
                    <a:lumMod val="75000"/>
                  </a:schemeClr>
                </a:solidFill>
              </a:endParaRPr>
            </a:p>
          </xdr:txBody>
        </xdr:sp>
        <xdr:sp macro="" textlink="PivotTables!$I$3">
          <xdr:nvSpPr>
            <xdr:cNvPr id="5" name="TextBox 4">
              <a:extLst>
                <a:ext uri="{FF2B5EF4-FFF2-40B4-BE49-F238E27FC236}">
                  <a16:creationId xmlns:a16="http://schemas.microsoft.com/office/drawing/2014/main" id="{3681B12D-5966-4F3D-867A-9BA40B83E190}"/>
                </a:ext>
              </a:extLst>
            </xdr:cNvPr>
            <xdr:cNvSpPr txBox="1"/>
          </xdr:nvSpPr>
          <xdr:spPr>
            <a:xfrm>
              <a:off x="157844" y="6342834"/>
              <a:ext cx="1744980" cy="416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DF47D2-6909-48BB-963C-C4E792A5C682}" type="TxLink">
                <a:rPr lang="en-US" sz="2000" b="1" i="0" u="none" strike="noStrike">
                  <a:solidFill>
                    <a:sysClr val="windowText" lastClr="000000"/>
                  </a:solidFill>
                  <a:latin typeface="Calibri"/>
                  <a:ea typeface="Calibri"/>
                  <a:cs typeface="Calibri"/>
                </a:rPr>
                <a:pPr algn="ctr"/>
                <a:t> 43,264 </a:t>
              </a:fld>
              <a:endParaRPr lang="en-US" sz="2000" b="1">
                <a:solidFill>
                  <a:sysClr val="windowText" lastClr="000000"/>
                </a:solidFill>
              </a:endParaRPr>
            </a:p>
          </xdr:txBody>
        </xdr:sp>
      </xdr:grpSp>
    </xdr:grpSp>
    <xdr:clientData/>
  </xdr:twoCellAnchor>
  <xdr:twoCellAnchor>
    <xdr:from>
      <xdr:col>14</xdr:col>
      <xdr:colOff>381001</xdr:colOff>
      <xdr:row>20</xdr:row>
      <xdr:rowOff>163286</xdr:rowOff>
    </xdr:from>
    <xdr:to>
      <xdr:col>20</xdr:col>
      <xdr:colOff>544286</xdr:colOff>
      <xdr:row>37</xdr:row>
      <xdr:rowOff>0</xdr:rowOff>
    </xdr:to>
    <xdr:graphicFrame macro="">
      <xdr:nvGraphicFramePr>
        <xdr:cNvPr id="30" name="Chart 29">
          <a:extLst>
            <a:ext uri="{FF2B5EF4-FFF2-40B4-BE49-F238E27FC236}">
              <a16:creationId xmlns:a16="http://schemas.microsoft.com/office/drawing/2014/main" id="{62382742-FF8F-4AA5-888F-709761CB7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76201</xdr:colOff>
      <xdr:row>0</xdr:row>
      <xdr:rowOff>141515</xdr:rowOff>
    </xdr:from>
    <xdr:to>
      <xdr:col>8</xdr:col>
      <xdr:colOff>76201</xdr:colOff>
      <xdr:row>3</xdr:row>
      <xdr:rowOff>26894</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B7423EF4-3CC0-4215-BC05-022D8E4733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24201" y="141515"/>
              <a:ext cx="1828800" cy="423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8966</xdr:colOff>
      <xdr:row>4</xdr:row>
      <xdr:rowOff>2</xdr:rowOff>
    </xdr:from>
    <xdr:to>
      <xdr:col>23</xdr:col>
      <xdr:colOff>53790</xdr:colOff>
      <xdr:row>14</xdr:row>
      <xdr:rowOff>125506</xdr:rowOff>
    </xdr:to>
    <mc:AlternateContent xmlns:mc="http://schemas.openxmlformats.org/markup-compatibility/2006" xmlns:a14="http://schemas.microsoft.com/office/drawing/2010/main">
      <mc:Choice Requires="a14">
        <xdr:graphicFrame macro="">
          <xdr:nvGraphicFramePr>
            <xdr:cNvPr id="40" name="Item_Category">
              <a:extLst>
                <a:ext uri="{FF2B5EF4-FFF2-40B4-BE49-F238E27FC236}">
                  <a16:creationId xmlns:a16="http://schemas.microsoft.com/office/drawing/2014/main" id="{B510D94D-71FD-4337-8544-EBC15A24FF8E}"/>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12810566" y="717178"/>
              <a:ext cx="1264024" cy="1918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576943</xdr:colOff>
      <xdr:row>0</xdr:row>
      <xdr:rowOff>141513</xdr:rowOff>
    </xdr:from>
    <xdr:to>
      <xdr:col>18</xdr:col>
      <xdr:colOff>272143</xdr:colOff>
      <xdr:row>3</xdr:row>
      <xdr:rowOff>43542</xdr:rowOff>
    </xdr:to>
    <mc:AlternateContent xmlns:mc="http://schemas.openxmlformats.org/markup-compatibility/2006" xmlns:a14="http://schemas.microsoft.com/office/drawing/2010/main">
      <mc:Choice Requires="a14">
        <xdr:graphicFrame macro="">
          <xdr:nvGraphicFramePr>
            <xdr:cNvPr id="42" name="Order_Status">
              <a:extLst>
                <a:ext uri="{FF2B5EF4-FFF2-40B4-BE49-F238E27FC236}">
                  <a16:creationId xmlns:a16="http://schemas.microsoft.com/office/drawing/2014/main" id="{9180B880-C10B-4604-8E08-0186CCBC5C7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5453743" y="141513"/>
              <a:ext cx="5791200" cy="439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129220</xdr:colOff>
      <xdr:row>0</xdr:row>
      <xdr:rowOff>60723</xdr:rowOff>
    </xdr:from>
    <xdr:to>
      <xdr:col>23</xdr:col>
      <xdr:colOff>179293</xdr:colOff>
      <xdr:row>38</xdr:row>
      <xdr:rowOff>86173</xdr:rowOff>
    </xdr:to>
    <xdr:grpSp>
      <xdr:nvGrpSpPr>
        <xdr:cNvPr id="31" name="Group 30">
          <a:extLst>
            <a:ext uri="{FF2B5EF4-FFF2-40B4-BE49-F238E27FC236}">
              <a16:creationId xmlns:a16="http://schemas.microsoft.com/office/drawing/2014/main" id="{C7D21198-BED5-EACC-1AC5-E96FF1A7F3E2}"/>
            </a:ext>
          </a:extLst>
        </xdr:cNvPr>
        <xdr:cNvGrpSpPr/>
      </xdr:nvGrpSpPr>
      <xdr:grpSpPr>
        <a:xfrm>
          <a:off x="129220" y="60723"/>
          <a:ext cx="14070873" cy="6838626"/>
          <a:chOff x="91440" y="60960"/>
          <a:chExt cx="14070873" cy="7057955"/>
        </a:xfrm>
      </xdr:grpSpPr>
      <xdr:pic>
        <xdr:nvPicPr>
          <xdr:cNvPr id="2" name="Picture 1">
            <a:extLst>
              <a:ext uri="{FF2B5EF4-FFF2-40B4-BE49-F238E27FC236}">
                <a16:creationId xmlns:a16="http://schemas.microsoft.com/office/drawing/2014/main" id="{85042B06-03BE-4694-A284-9E1A2ABC57FE}"/>
              </a:ext>
            </a:extLst>
          </xdr:cNvPr>
          <xdr:cNvPicPr>
            <a:picLocks noChangeAspect="1"/>
          </xdr:cNvPicPr>
        </xdr:nvPicPr>
        <xdr:blipFill>
          <a:blip xmlns:r="http://schemas.openxmlformats.org/officeDocument/2006/relationships" r:embed="rId1">
            <a:alphaModFix amt="15000"/>
            <a:extLst>
              <a:ext uri="{28A0092B-C50C-407E-A947-70E740481C1C}">
                <a14:useLocalDpi xmlns:a14="http://schemas.microsoft.com/office/drawing/2010/main" val="0"/>
              </a:ext>
            </a:extLst>
          </a:blip>
          <a:stretch>
            <a:fillRect/>
          </a:stretch>
        </xdr:blipFill>
        <xdr:spPr>
          <a:xfrm>
            <a:off x="97330" y="71842"/>
            <a:ext cx="14064983" cy="7047073"/>
          </a:xfrm>
          <a:prstGeom prst="rect">
            <a:avLst/>
          </a:prstGeom>
          <a:ln>
            <a:solidFill>
              <a:schemeClr val="tx1"/>
            </a:solidFill>
          </a:ln>
        </xdr:spPr>
      </xdr:pic>
      <xdr:sp macro="" textlink="">
        <xdr:nvSpPr>
          <xdr:cNvPr id="11" name="Rectangle 10">
            <a:extLst>
              <a:ext uri="{FF2B5EF4-FFF2-40B4-BE49-F238E27FC236}">
                <a16:creationId xmlns:a16="http://schemas.microsoft.com/office/drawing/2014/main" id="{1F60CEDA-751C-41F2-AEA7-212AB0F97686}"/>
              </a:ext>
            </a:extLst>
          </xdr:cNvPr>
          <xdr:cNvSpPr/>
        </xdr:nvSpPr>
        <xdr:spPr>
          <a:xfrm>
            <a:off x="91440" y="60960"/>
            <a:ext cx="14066520" cy="555171"/>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677D0078-CA3D-4F54-8B6D-827EDC822FAA}"/>
              </a:ext>
            </a:extLst>
          </xdr:cNvPr>
          <xdr:cNvSpPr txBox="1"/>
        </xdr:nvSpPr>
        <xdr:spPr>
          <a:xfrm>
            <a:off x="129540" y="83820"/>
            <a:ext cx="247971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tx1">
                    <a:lumMod val="75000"/>
                    <a:lumOff val="25000"/>
                  </a:schemeClr>
                </a:solidFill>
              </a:rPr>
              <a:t>Suppliers Analysis</a:t>
            </a:r>
          </a:p>
        </xdr:txBody>
      </xdr:sp>
      <xdr:pic>
        <xdr:nvPicPr>
          <xdr:cNvPr id="3" name="Picture 2">
            <a:hlinkClick xmlns:r="http://schemas.openxmlformats.org/officeDocument/2006/relationships" r:id="rId2"/>
            <a:extLst>
              <a:ext uri="{FF2B5EF4-FFF2-40B4-BE49-F238E27FC236}">
                <a16:creationId xmlns:a16="http://schemas.microsoft.com/office/drawing/2014/main" id="{487A228A-4D1A-4EF5-B537-837F88CB6271}"/>
              </a:ext>
            </a:extLst>
          </xdr:cNvPr>
          <xdr:cNvPicPr>
            <a:picLocks noChangeAspect="1"/>
          </xdr:cNvPicPr>
        </xdr:nvPicPr>
        <xdr:blipFill>
          <a:blip xmlns:r="http://schemas.openxmlformats.org/officeDocument/2006/relationships" r:embed="rId3"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3647420" y="99060"/>
            <a:ext cx="472440" cy="478971"/>
          </a:xfrm>
          <a:prstGeom prst="rect">
            <a:avLst/>
          </a:prstGeom>
        </xdr:spPr>
      </xdr:pic>
      <xdr:grpSp>
        <xdr:nvGrpSpPr>
          <xdr:cNvPr id="19" name="Group 18">
            <a:hlinkClick xmlns:r="http://schemas.openxmlformats.org/officeDocument/2006/relationships" r:id="rId4"/>
            <a:extLst>
              <a:ext uri="{FF2B5EF4-FFF2-40B4-BE49-F238E27FC236}">
                <a16:creationId xmlns:a16="http://schemas.microsoft.com/office/drawing/2014/main" id="{DB900FE5-E91C-4F9A-8DE2-A9D98BBE3FDD}"/>
              </a:ext>
            </a:extLst>
          </xdr:cNvPr>
          <xdr:cNvGrpSpPr/>
        </xdr:nvGrpSpPr>
        <xdr:grpSpPr>
          <a:xfrm>
            <a:off x="11703154" y="152400"/>
            <a:ext cx="416168" cy="399422"/>
            <a:chOff x="12602307" y="152398"/>
            <a:chExt cx="416168" cy="392723"/>
          </a:xfrm>
        </xdr:grpSpPr>
        <xdr:pic>
          <xdr:nvPicPr>
            <xdr:cNvPr id="20" name="Picture 19">
              <a:extLst>
                <a:ext uri="{FF2B5EF4-FFF2-40B4-BE49-F238E27FC236}">
                  <a16:creationId xmlns:a16="http://schemas.microsoft.com/office/drawing/2014/main" id="{2039B17D-0936-0575-7C89-F7EC7EA924F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632202" y="196361"/>
              <a:ext cx="327880" cy="325315"/>
            </a:xfrm>
            <a:prstGeom prst="rect">
              <a:avLst/>
            </a:prstGeom>
            <a:noFill/>
            <a:ln>
              <a:noFill/>
            </a:ln>
            <a:effectLst/>
          </xdr:spPr>
        </xdr:pic>
        <xdr:sp macro="" textlink="">
          <xdr:nvSpPr>
            <xdr:cNvPr id="21" name="Rectangle: Rounded Corners 20">
              <a:extLst>
                <a:ext uri="{FF2B5EF4-FFF2-40B4-BE49-F238E27FC236}">
                  <a16:creationId xmlns:a16="http://schemas.microsoft.com/office/drawing/2014/main" id="{4557A70C-5548-86C8-D3D5-73BB2A6D1E8A}"/>
                </a:ext>
              </a:extLst>
            </xdr:cNvPr>
            <xdr:cNvSpPr/>
          </xdr:nvSpPr>
          <xdr:spPr>
            <a:xfrm>
              <a:off x="12602307" y="152398"/>
              <a:ext cx="416168" cy="3927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2" name="Group 21">
            <a:extLst>
              <a:ext uri="{FF2B5EF4-FFF2-40B4-BE49-F238E27FC236}">
                <a16:creationId xmlns:a16="http://schemas.microsoft.com/office/drawing/2014/main" id="{15DA84A9-A903-407C-93C8-8CCC3911A228}"/>
              </a:ext>
            </a:extLst>
          </xdr:cNvPr>
          <xdr:cNvGrpSpPr/>
        </xdr:nvGrpSpPr>
        <xdr:grpSpPr>
          <a:xfrm>
            <a:off x="12237720" y="152401"/>
            <a:ext cx="416168" cy="399422"/>
            <a:chOff x="11998565" y="152399"/>
            <a:chExt cx="416168" cy="392723"/>
          </a:xfrm>
          <a:effectLst/>
        </xdr:grpSpPr>
        <xdr:sp macro="" textlink="">
          <xdr:nvSpPr>
            <xdr:cNvPr id="23" name="Rectangle: Rounded Corners 22">
              <a:extLst>
                <a:ext uri="{FF2B5EF4-FFF2-40B4-BE49-F238E27FC236}">
                  <a16:creationId xmlns:a16="http://schemas.microsoft.com/office/drawing/2014/main" id="{AB16F24A-C505-4232-EA08-6D19CBB38F6C}"/>
                </a:ext>
              </a:extLst>
            </xdr:cNvPr>
            <xdr:cNvSpPr/>
          </xdr:nvSpPr>
          <xdr:spPr>
            <a:xfrm>
              <a:off x="11998565" y="152399"/>
              <a:ext cx="416168" cy="392723"/>
            </a:xfrm>
            <a:prstGeom prst="roundRect">
              <a:avLst/>
            </a:prstGeom>
            <a:noFill/>
            <a:ln>
              <a:solidFill>
                <a:schemeClr val="tx1"/>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4" name="Picture 23">
              <a:extLst>
                <a:ext uri="{FF2B5EF4-FFF2-40B4-BE49-F238E27FC236}">
                  <a16:creationId xmlns:a16="http://schemas.microsoft.com/office/drawing/2014/main" id="{F3ECE134-3E00-79CE-5ED8-FD00ACE4B6B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054255" y="199293"/>
              <a:ext cx="293076" cy="293076"/>
            </a:xfrm>
            <a:prstGeom prst="rect">
              <a:avLst/>
            </a:prstGeom>
            <a:effectLst/>
          </xdr:spPr>
        </xdr:pic>
      </xdr:grpSp>
    </xdr:grpSp>
    <xdr:clientData/>
  </xdr:twoCellAnchor>
  <xdr:twoCellAnchor>
    <xdr:from>
      <xdr:col>0</xdr:col>
      <xdr:colOff>119742</xdr:colOff>
      <xdr:row>4</xdr:row>
      <xdr:rowOff>76197</xdr:rowOff>
    </xdr:from>
    <xdr:to>
      <xdr:col>3</xdr:col>
      <xdr:colOff>127362</xdr:colOff>
      <xdr:row>21</xdr:row>
      <xdr:rowOff>21771</xdr:rowOff>
    </xdr:to>
    <xdr:grpSp>
      <xdr:nvGrpSpPr>
        <xdr:cNvPr id="55" name="Group 54">
          <a:extLst>
            <a:ext uri="{FF2B5EF4-FFF2-40B4-BE49-F238E27FC236}">
              <a16:creationId xmlns:a16="http://schemas.microsoft.com/office/drawing/2014/main" id="{4251E18D-25F1-4352-216F-110884B2DC7C}"/>
            </a:ext>
          </a:extLst>
        </xdr:cNvPr>
        <xdr:cNvGrpSpPr/>
      </xdr:nvGrpSpPr>
      <xdr:grpSpPr>
        <a:xfrm>
          <a:off x="119742" y="793373"/>
          <a:ext cx="1836420" cy="2993574"/>
          <a:chOff x="152399" y="827312"/>
          <a:chExt cx="1836420" cy="4392569"/>
        </a:xfrm>
      </xdr:grpSpPr>
      <xdr:grpSp>
        <xdr:nvGrpSpPr>
          <xdr:cNvPr id="4" name="Group 3">
            <a:extLst>
              <a:ext uri="{FF2B5EF4-FFF2-40B4-BE49-F238E27FC236}">
                <a16:creationId xmlns:a16="http://schemas.microsoft.com/office/drawing/2014/main" id="{FBE58231-D59F-49D0-9019-71CF954FB1A2}"/>
              </a:ext>
            </a:extLst>
          </xdr:cNvPr>
          <xdr:cNvGrpSpPr/>
        </xdr:nvGrpSpPr>
        <xdr:grpSpPr>
          <a:xfrm>
            <a:off x="152399" y="827312"/>
            <a:ext cx="1836420" cy="4392569"/>
            <a:chOff x="114300" y="822959"/>
            <a:chExt cx="1836420" cy="4340174"/>
          </a:xfrm>
        </xdr:grpSpPr>
        <xdr:grpSp>
          <xdr:nvGrpSpPr>
            <xdr:cNvPr id="5" name="Group 4">
              <a:extLst>
                <a:ext uri="{FF2B5EF4-FFF2-40B4-BE49-F238E27FC236}">
                  <a16:creationId xmlns:a16="http://schemas.microsoft.com/office/drawing/2014/main" id="{A24479D7-DC20-1E85-B1A9-2F639ACACB00}"/>
                </a:ext>
              </a:extLst>
            </xdr:cNvPr>
            <xdr:cNvGrpSpPr/>
          </xdr:nvGrpSpPr>
          <xdr:grpSpPr>
            <a:xfrm>
              <a:off x="199210" y="822959"/>
              <a:ext cx="1699260" cy="903493"/>
              <a:chOff x="199210" y="822959"/>
              <a:chExt cx="1699260" cy="903493"/>
            </a:xfrm>
          </xdr:grpSpPr>
          <xdr:sp macro="" textlink="">
            <xdr:nvSpPr>
              <xdr:cNvPr id="30" name="Rectangle: Rounded Corners 29">
                <a:extLst>
                  <a:ext uri="{FF2B5EF4-FFF2-40B4-BE49-F238E27FC236}">
                    <a16:creationId xmlns:a16="http://schemas.microsoft.com/office/drawing/2014/main" id="{350A5EF7-A78D-AEB9-AFF0-E8FBADA41C3C}"/>
                  </a:ext>
                </a:extLst>
              </xdr:cNvPr>
              <xdr:cNvSpPr/>
            </xdr:nvSpPr>
            <xdr:spPr>
              <a:xfrm>
                <a:off x="251460" y="822959"/>
                <a:ext cx="1562100" cy="903493"/>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C$2">
            <xdr:nvSpPr>
              <xdr:cNvPr id="32" name="TextBox 31">
                <a:extLst>
                  <a:ext uri="{FF2B5EF4-FFF2-40B4-BE49-F238E27FC236}">
                    <a16:creationId xmlns:a16="http://schemas.microsoft.com/office/drawing/2014/main" id="{B086B73C-67CE-F582-3E90-82A48A90C367}"/>
                  </a:ext>
                </a:extLst>
              </xdr:cNvPr>
              <xdr:cNvSpPr txBox="1"/>
            </xdr:nvSpPr>
            <xdr:spPr>
              <a:xfrm>
                <a:off x="518160" y="959213"/>
                <a:ext cx="1097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22925-B198-446B-947C-85303AB5EB5E}" type="TxLink">
                  <a:rPr lang="en-US" sz="1400" b="1" i="0" u="none" strike="noStrike">
                    <a:solidFill>
                      <a:schemeClr val="accent2">
                        <a:lumMod val="75000"/>
                      </a:schemeClr>
                    </a:solidFill>
                    <a:latin typeface="Calibri"/>
                    <a:ea typeface="Calibri"/>
                    <a:cs typeface="Calibri"/>
                  </a:rPr>
                  <a:pPr algn="ctr"/>
                  <a:t>Suppliers</a:t>
                </a:fld>
                <a:endParaRPr lang="en-US" sz="1400" b="1">
                  <a:solidFill>
                    <a:schemeClr val="accent2">
                      <a:lumMod val="75000"/>
                    </a:schemeClr>
                  </a:solidFill>
                </a:endParaRPr>
              </a:p>
            </xdr:txBody>
          </xdr:sp>
          <xdr:sp macro="" textlink="PivotTables!$C$3">
            <xdr:nvSpPr>
              <xdr:cNvPr id="33" name="TextBox 32">
                <a:extLst>
                  <a:ext uri="{FF2B5EF4-FFF2-40B4-BE49-F238E27FC236}">
                    <a16:creationId xmlns:a16="http://schemas.microsoft.com/office/drawing/2014/main" id="{8AD4ACC1-B3B5-D24B-AB07-A49B75C70BA6}"/>
                  </a:ext>
                </a:extLst>
              </xdr:cNvPr>
              <xdr:cNvSpPr txBox="1"/>
            </xdr:nvSpPr>
            <xdr:spPr>
              <a:xfrm>
                <a:off x="199210" y="1203053"/>
                <a:ext cx="16992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89F4C7-332F-4A2B-9312-88A7FB833D38}" type="TxLink">
                  <a:rPr lang="en-US" sz="2000" b="1" i="0" u="none" strike="noStrike">
                    <a:solidFill>
                      <a:srgbClr val="000000"/>
                    </a:solidFill>
                    <a:latin typeface="Calibri"/>
                    <a:ea typeface="Calibri"/>
                    <a:cs typeface="Calibri"/>
                  </a:rPr>
                  <a:pPr algn="ctr"/>
                  <a:t>5</a:t>
                </a:fld>
                <a:endParaRPr lang="en-US" sz="2000" b="1"/>
              </a:p>
            </xdr:txBody>
          </xdr:sp>
        </xdr:grpSp>
        <xdr:grpSp>
          <xdr:nvGrpSpPr>
            <xdr:cNvPr id="6" name="Group 5">
              <a:extLst>
                <a:ext uri="{FF2B5EF4-FFF2-40B4-BE49-F238E27FC236}">
                  <a16:creationId xmlns:a16="http://schemas.microsoft.com/office/drawing/2014/main" id="{547C1794-630F-E8F0-2CEF-045C911DB25B}"/>
                </a:ext>
              </a:extLst>
            </xdr:cNvPr>
            <xdr:cNvGrpSpPr/>
          </xdr:nvGrpSpPr>
          <xdr:grpSpPr>
            <a:xfrm>
              <a:off x="129540" y="1957433"/>
              <a:ext cx="1821180" cy="911002"/>
              <a:chOff x="129540" y="1957433"/>
              <a:chExt cx="1821180" cy="911002"/>
            </a:xfrm>
          </xdr:grpSpPr>
          <xdr:sp macro="" textlink="">
            <xdr:nvSpPr>
              <xdr:cNvPr id="27" name="Rectangle: Rounded Corners 26">
                <a:extLst>
                  <a:ext uri="{FF2B5EF4-FFF2-40B4-BE49-F238E27FC236}">
                    <a16:creationId xmlns:a16="http://schemas.microsoft.com/office/drawing/2014/main" id="{8FBAF34C-085E-7072-97FB-422C5106757A}"/>
                  </a:ext>
                </a:extLst>
              </xdr:cNvPr>
              <xdr:cNvSpPr/>
            </xdr:nvSpPr>
            <xdr:spPr>
              <a:xfrm>
                <a:off x="251460" y="1964942"/>
                <a:ext cx="1562100" cy="903493"/>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E$2">
            <xdr:nvSpPr>
              <xdr:cNvPr id="28" name="TextBox 27">
                <a:extLst>
                  <a:ext uri="{FF2B5EF4-FFF2-40B4-BE49-F238E27FC236}">
                    <a16:creationId xmlns:a16="http://schemas.microsoft.com/office/drawing/2014/main" id="{A9819AF9-B292-C807-EB96-4FB7130466D6}"/>
                  </a:ext>
                </a:extLst>
              </xdr:cNvPr>
              <xdr:cNvSpPr txBox="1"/>
            </xdr:nvSpPr>
            <xdr:spPr>
              <a:xfrm>
                <a:off x="190501" y="1957433"/>
                <a:ext cx="1676400" cy="478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6DD5A9-4D9E-4FD5-905E-987B7A297B58}" type="TxLink">
                  <a:rPr lang="en-US" sz="1200" b="1" i="0" u="none" strike="noStrike">
                    <a:solidFill>
                      <a:schemeClr val="accent2">
                        <a:lumMod val="75000"/>
                      </a:schemeClr>
                    </a:solidFill>
                    <a:latin typeface="Calibri"/>
                    <a:ea typeface="Calibri"/>
                    <a:cs typeface="Calibri"/>
                  </a:rPr>
                  <a:pPr algn="ctr"/>
                  <a:t>Avg Delivery Duration (Days)</a:t>
                </a:fld>
                <a:endParaRPr lang="en-US" sz="1200" b="1">
                  <a:solidFill>
                    <a:schemeClr val="accent2">
                      <a:lumMod val="75000"/>
                    </a:schemeClr>
                  </a:solidFill>
                </a:endParaRPr>
              </a:p>
            </xdr:txBody>
          </xdr:sp>
          <xdr:sp macro="" textlink="PivotTables!$E$3">
            <xdr:nvSpPr>
              <xdr:cNvPr id="29" name="TextBox 28">
                <a:extLst>
                  <a:ext uri="{FF2B5EF4-FFF2-40B4-BE49-F238E27FC236}">
                    <a16:creationId xmlns:a16="http://schemas.microsoft.com/office/drawing/2014/main" id="{65D7191C-9197-F262-1FD0-1E04CD075788}"/>
                  </a:ext>
                </a:extLst>
              </xdr:cNvPr>
              <xdr:cNvSpPr txBox="1"/>
            </xdr:nvSpPr>
            <xdr:spPr>
              <a:xfrm>
                <a:off x="129540" y="2308832"/>
                <a:ext cx="18211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D4790E-2B3C-4E75-A3AA-AF1389221FC1}" type="TxLink">
                  <a:rPr lang="en-US" sz="2000" b="1" i="0" u="none" strike="noStrike">
                    <a:solidFill>
                      <a:sysClr val="windowText" lastClr="000000"/>
                    </a:solidFill>
                    <a:latin typeface="Calibri"/>
                    <a:ea typeface="Calibri"/>
                    <a:cs typeface="Calibri"/>
                  </a:rPr>
                  <a:pPr algn="ctr"/>
                  <a:t>11</a:t>
                </a:fld>
                <a:endParaRPr lang="en-US" sz="2000" b="1">
                  <a:solidFill>
                    <a:sysClr val="windowText" lastClr="000000"/>
                  </a:solidFill>
                </a:endParaRPr>
              </a:p>
            </xdr:txBody>
          </xdr:sp>
        </xdr:grpSp>
        <xdr:grpSp>
          <xdr:nvGrpSpPr>
            <xdr:cNvPr id="8" name="Group 7">
              <a:extLst>
                <a:ext uri="{FF2B5EF4-FFF2-40B4-BE49-F238E27FC236}">
                  <a16:creationId xmlns:a16="http://schemas.microsoft.com/office/drawing/2014/main" id="{8D5FB1FB-C886-7CF6-11BF-AD7E0CE2CE75}"/>
                </a:ext>
              </a:extLst>
            </xdr:cNvPr>
            <xdr:cNvGrpSpPr/>
          </xdr:nvGrpSpPr>
          <xdr:grpSpPr>
            <a:xfrm>
              <a:off x="114300" y="4259640"/>
              <a:ext cx="1699260" cy="903493"/>
              <a:chOff x="114300" y="4259640"/>
              <a:chExt cx="1699260" cy="903493"/>
            </a:xfrm>
          </xdr:grpSpPr>
          <xdr:sp macro="" textlink="">
            <xdr:nvSpPr>
              <xdr:cNvPr id="15" name="Rectangle: Rounded Corners 14">
                <a:extLst>
                  <a:ext uri="{FF2B5EF4-FFF2-40B4-BE49-F238E27FC236}">
                    <a16:creationId xmlns:a16="http://schemas.microsoft.com/office/drawing/2014/main" id="{08B5D5AF-4274-177F-AC13-9A5C34EFE7AA}"/>
                  </a:ext>
                </a:extLst>
              </xdr:cNvPr>
              <xdr:cNvSpPr/>
            </xdr:nvSpPr>
            <xdr:spPr>
              <a:xfrm>
                <a:off x="251460" y="4259640"/>
                <a:ext cx="1562100" cy="903493"/>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H$2">
            <xdr:nvSpPr>
              <xdr:cNvPr id="16" name="TextBox 15">
                <a:extLst>
                  <a:ext uri="{FF2B5EF4-FFF2-40B4-BE49-F238E27FC236}">
                    <a16:creationId xmlns:a16="http://schemas.microsoft.com/office/drawing/2014/main" id="{0F58F8FB-8F60-2458-3458-3FCBDFCB792E}"/>
                  </a:ext>
                </a:extLst>
              </xdr:cNvPr>
              <xdr:cNvSpPr txBox="1"/>
            </xdr:nvSpPr>
            <xdr:spPr>
              <a:xfrm>
                <a:off x="281940" y="4371125"/>
                <a:ext cx="15087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006B42-1C5F-49FA-B64A-2F503A76B48C}" type="TxLink">
                  <a:rPr lang="en-US" sz="1400" b="1" i="0" u="none" strike="noStrike">
                    <a:solidFill>
                      <a:schemeClr val="accent2">
                        <a:lumMod val="75000"/>
                      </a:schemeClr>
                    </a:solidFill>
                    <a:latin typeface="Calibri"/>
                    <a:ea typeface="Calibri"/>
                    <a:cs typeface="Calibri"/>
                  </a:rPr>
                  <a:pPr algn="ctr"/>
                  <a:t>Avg Order Cost</a:t>
                </a:fld>
                <a:endParaRPr lang="en-US" sz="1400" b="1">
                  <a:solidFill>
                    <a:schemeClr val="accent2">
                      <a:lumMod val="75000"/>
                    </a:schemeClr>
                  </a:solidFill>
                </a:endParaRPr>
              </a:p>
            </xdr:txBody>
          </xdr:sp>
          <xdr:sp macro="" textlink="PivotTables!$H$3">
            <xdr:nvSpPr>
              <xdr:cNvPr id="17" name="TextBox 16">
                <a:extLst>
                  <a:ext uri="{FF2B5EF4-FFF2-40B4-BE49-F238E27FC236}">
                    <a16:creationId xmlns:a16="http://schemas.microsoft.com/office/drawing/2014/main" id="{71CB054C-EBDB-B258-D618-9E9DAFCE7652}"/>
                  </a:ext>
                </a:extLst>
              </xdr:cNvPr>
              <xdr:cNvSpPr txBox="1"/>
            </xdr:nvSpPr>
            <xdr:spPr>
              <a:xfrm>
                <a:off x="114300" y="4614962"/>
                <a:ext cx="16992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EF6FA3-41FB-43C8-A98C-934C3832E3D7}" type="TxLink">
                  <a:rPr lang="en-US" sz="2000" b="1" i="0" u="none" strike="noStrike">
                    <a:solidFill>
                      <a:sysClr val="windowText" lastClr="000000"/>
                    </a:solidFill>
                    <a:latin typeface="Calibri"/>
                    <a:ea typeface="Calibri"/>
                    <a:cs typeface="Calibri"/>
                  </a:rPr>
                  <a:pPr algn="ctr"/>
                  <a:t> $59,183 </a:t>
                </a:fld>
                <a:endParaRPr lang="en-US" sz="2000" b="1">
                  <a:solidFill>
                    <a:sysClr val="windowText" lastClr="000000"/>
                  </a:solidFill>
                </a:endParaRPr>
              </a:p>
            </xdr:txBody>
          </xdr:sp>
        </xdr:grpSp>
      </xdr:grpSp>
      <xdr:sp macro="" textlink="">
        <xdr:nvSpPr>
          <xdr:cNvPr id="40" name="Rectangle: Rounded Corners 39">
            <a:extLst>
              <a:ext uri="{FF2B5EF4-FFF2-40B4-BE49-F238E27FC236}">
                <a16:creationId xmlns:a16="http://schemas.microsoft.com/office/drawing/2014/main" id="{D4A423AA-CE30-4C2F-B16B-0EAAEB462944}"/>
              </a:ext>
            </a:extLst>
          </xdr:cNvPr>
          <xdr:cNvSpPr/>
        </xdr:nvSpPr>
        <xdr:spPr>
          <a:xfrm>
            <a:off x="300446" y="3145977"/>
            <a:ext cx="1562100" cy="914400"/>
          </a:xfrm>
          <a:prstGeom prst="roundRect">
            <a:avLst/>
          </a:prstGeom>
          <a:noFill/>
          <a:ln>
            <a:solidFill>
              <a:schemeClr val="accent2">
                <a:lumMod val="7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J$2">
        <xdr:nvSpPr>
          <xdr:cNvPr id="41" name="TextBox 40">
            <a:extLst>
              <a:ext uri="{FF2B5EF4-FFF2-40B4-BE49-F238E27FC236}">
                <a16:creationId xmlns:a16="http://schemas.microsoft.com/office/drawing/2014/main" id="{5675F213-7403-4BAA-9B9C-273E8A3E23E1}"/>
              </a:ext>
            </a:extLst>
          </xdr:cNvPr>
          <xdr:cNvSpPr txBox="1"/>
        </xdr:nvSpPr>
        <xdr:spPr>
          <a:xfrm>
            <a:off x="330926" y="3258811"/>
            <a:ext cx="1508760" cy="339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C51E17-24E0-45DC-80C8-266686E1DB16}" type="TxLink">
              <a:rPr lang="en-US" sz="1400" b="1" i="0" u="none" strike="noStrike">
                <a:solidFill>
                  <a:schemeClr val="accent2">
                    <a:lumMod val="75000"/>
                  </a:schemeClr>
                </a:solidFill>
                <a:latin typeface="Calibri"/>
                <a:ea typeface="Calibri"/>
                <a:cs typeface="Calibri"/>
              </a:rPr>
              <a:pPr algn="ctr"/>
              <a:t>Defect Rate</a:t>
            </a:fld>
            <a:endParaRPr lang="en-US" sz="1400" b="1">
              <a:solidFill>
                <a:schemeClr val="accent2">
                  <a:lumMod val="75000"/>
                </a:schemeClr>
              </a:solidFill>
            </a:endParaRPr>
          </a:p>
        </xdr:txBody>
      </xdr:sp>
      <xdr:sp macro="" textlink="PivotTables!$J$3">
        <xdr:nvSpPr>
          <xdr:cNvPr id="42" name="TextBox 41">
            <a:extLst>
              <a:ext uri="{FF2B5EF4-FFF2-40B4-BE49-F238E27FC236}">
                <a16:creationId xmlns:a16="http://schemas.microsoft.com/office/drawing/2014/main" id="{F221F641-6A55-4F4D-89FD-99906CDF356D}"/>
              </a:ext>
            </a:extLst>
          </xdr:cNvPr>
          <xdr:cNvSpPr txBox="1"/>
        </xdr:nvSpPr>
        <xdr:spPr>
          <a:xfrm>
            <a:off x="163286" y="3505595"/>
            <a:ext cx="1699260" cy="416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038BF-032D-49AC-8B02-32334778D6C7}" type="TxLink">
              <a:rPr lang="en-US" sz="2000" b="1" i="0" u="none" strike="noStrike">
                <a:solidFill>
                  <a:schemeClr val="tx1"/>
                </a:solidFill>
                <a:latin typeface="Calibri"/>
                <a:ea typeface="Calibri"/>
                <a:cs typeface="Calibri"/>
              </a:rPr>
              <a:pPr algn="ctr"/>
              <a:t> 0.06 </a:t>
            </a:fld>
            <a:endParaRPr lang="en-US" sz="2000" b="1">
              <a:solidFill>
                <a:schemeClr val="tx1"/>
              </a:solidFill>
            </a:endParaRPr>
          </a:p>
        </xdr:txBody>
      </xdr:sp>
    </xdr:grpSp>
    <xdr:clientData/>
  </xdr:twoCellAnchor>
  <xdr:twoCellAnchor>
    <xdr:from>
      <xdr:col>13</xdr:col>
      <xdr:colOff>457200</xdr:colOff>
      <xdr:row>4</xdr:row>
      <xdr:rowOff>65313</xdr:rowOff>
    </xdr:from>
    <xdr:to>
      <xdr:col>20</xdr:col>
      <xdr:colOff>587829</xdr:colOff>
      <xdr:row>20</xdr:row>
      <xdr:rowOff>130628</xdr:rowOff>
    </xdr:to>
    <xdr:graphicFrame macro="">
      <xdr:nvGraphicFramePr>
        <xdr:cNvPr id="7" name="Chart 6">
          <a:extLst>
            <a:ext uri="{FF2B5EF4-FFF2-40B4-BE49-F238E27FC236}">
              <a16:creationId xmlns:a16="http://schemas.microsoft.com/office/drawing/2014/main" id="{953B0501-9988-4D79-9794-4C82BFAB8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293914</xdr:colOff>
      <xdr:row>4</xdr:row>
      <xdr:rowOff>76200</xdr:rowOff>
    </xdr:from>
    <xdr:to>
      <xdr:col>13</xdr:col>
      <xdr:colOff>217715</xdr:colOff>
      <xdr:row>20</xdr:row>
      <xdr:rowOff>130629</xdr:rowOff>
    </xdr:to>
    <xdr:graphicFrame macro="">
      <xdr:nvGraphicFramePr>
        <xdr:cNvPr id="9" name="Chart 8">
          <a:extLst>
            <a:ext uri="{FF2B5EF4-FFF2-40B4-BE49-F238E27FC236}">
              <a16:creationId xmlns:a16="http://schemas.microsoft.com/office/drawing/2014/main" id="{C68D4E78-34FA-47E6-A037-41357EC71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500743</xdr:colOff>
      <xdr:row>22</xdr:row>
      <xdr:rowOff>0</xdr:rowOff>
    </xdr:from>
    <xdr:to>
      <xdr:col>14</xdr:col>
      <xdr:colOff>261260</xdr:colOff>
      <xdr:row>37</xdr:row>
      <xdr:rowOff>54429</xdr:rowOff>
    </xdr:to>
    <xdr:graphicFrame macro="">
      <xdr:nvGraphicFramePr>
        <xdr:cNvPr id="18" name="Chart 17">
          <a:extLst>
            <a:ext uri="{FF2B5EF4-FFF2-40B4-BE49-F238E27FC236}">
              <a16:creationId xmlns:a16="http://schemas.microsoft.com/office/drawing/2014/main" id="{B836530F-F300-45C3-A126-E868A8939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545373</xdr:colOff>
      <xdr:row>0</xdr:row>
      <xdr:rowOff>131718</xdr:rowOff>
    </xdr:from>
    <xdr:to>
      <xdr:col>14</xdr:col>
      <xdr:colOff>468085</xdr:colOff>
      <xdr:row>3</xdr:row>
      <xdr:rowOff>62753</xdr:rowOff>
    </xdr:to>
    <mc:AlternateContent xmlns:mc="http://schemas.openxmlformats.org/markup-compatibility/2006" xmlns:a14="http://schemas.microsoft.com/office/drawing/2010/main">
      <mc:Choice Requires="a14">
        <xdr:graphicFrame macro="">
          <xdr:nvGraphicFramePr>
            <xdr:cNvPr id="34" name="Supplier">
              <a:extLst>
                <a:ext uri="{FF2B5EF4-FFF2-40B4-BE49-F238E27FC236}">
                  <a16:creationId xmlns:a16="http://schemas.microsoft.com/office/drawing/2014/main" id="{F2CC3EDA-6E1C-42CD-A05D-0E2C1DAD9D5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2983773" y="131718"/>
              <a:ext cx="6018712" cy="468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81122</xdr:colOff>
      <xdr:row>3</xdr:row>
      <xdr:rowOff>76202</xdr:rowOff>
    </xdr:from>
    <xdr:to>
      <xdr:col>23</xdr:col>
      <xdr:colOff>159248</xdr:colOff>
      <xdr:row>38</xdr:row>
      <xdr:rowOff>44824</xdr:rowOff>
    </xdr:to>
    <xdr:grpSp>
      <xdr:nvGrpSpPr>
        <xdr:cNvPr id="36" name="Group 35">
          <a:extLst>
            <a:ext uri="{FF2B5EF4-FFF2-40B4-BE49-F238E27FC236}">
              <a16:creationId xmlns:a16="http://schemas.microsoft.com/office/drawing/2014/main" id="{45D21F38-4F09-F948-86A2-60520A750381}"/>
            </a:ext>
          </a:extLst>
        </xdr:cNvPr>
        <xdr:cNvGrpSpPr/>
      </xdr:nvGrpSpPr>
      <xdr:grpSpPr>
        <a:xfrm>
          <a:off x="12882722" y="614084"/>
          <a:ext cx="1297326" cy="6243916"/>
          <a:chOff x="12932226" y="631370"/>
          <a:chExt cx="1298406" cy="6498773"/>
        </a:xfrm>
      </xdr:grpSpPr>
      <xdr:sp macro="" textlink="">
        <xdr:nvSpPr>
          <xdr:cNvPr id="35" name="Rectangle 34">
            <a:extLst>
              <a:ext uri="{FF2B5EF4-FFF2-40B4-BE49-F238E27FC236}">
                <a16:creationId xmlns:a16="http://schemas.microsoft.com/office/drawing/2014/main" id="{5569A246-EDF6-4703-8758-41B44C30064B}"/>
              </a:ext>
            </a:extLst>
          </xdr:cNvPr>
          <xdr:cNvSpPr/>
        </xdr:nvSpPr>
        <xdr:spPr>
          <a:xfrm>
            <a:off x="12932226" y="631370"/>
            <a:ext cx="1240972" cy="649877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6" name="Item_Category 1">
                <a:extLst>
                  <a:ext uri="{FF2B5EF4-FFF2-40B4-BE49-F238E27FC236}">
                    <a16:creationId xmlns:a16="http://schemas.microsoft.com/office/drawing/2014/main" id="{529DEEEB-DB76-4DAA-A76C-EEA51D6F737D}"/>
                  </a:ext>
                </a:extLst>
              </xdr:cNvPr>
              <xdr:cNvGraphicFramePr/>
            </xdr:nvGraphicFramePr>
            <xdr:xfrm>
              <a:off x="12977684" y="729340"/>
              <a:ext cx="1252948" cy="198120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12928142" y="708212"/>
                <a:ext cx="1251906" cy="1903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mc:AlternateContent xmlns:mc="http://schemas.openxmlformats.org/markup-compatibility/2006">
    <mc:Choice xmlns:a14="http://schemas.microsoft.com/office/drawing/2010/main" Requires="a14">
      <xdr:twoCellAnchor editAs="oneCell">
        <xdr:from>
          <xdr:col>0</xdr:col>
          <xdr:colOff>228597</xdr:colOff>
          <xdr:row>24</xdr:row>
          <xdr:rowOff>143435</xdr:rowOff>
        </xdr:from>
        <xdr:to>
          <xdr:col>6</xdr:col>
          <xdr:colOff>283026</xdr:colOff>
          <xdr:row>34</xdr:row>
          <xdr:rowOff>21773</xdr:rowOff>
        </xdr:to>
        <xdr:pic>
          <xdr:nvPicPr>
            <xdr:cNvPr id="56" name="Picture 55">
              <a:extLst>
                <a:ext uri="{FF2B5EF4-FFF2-40B4-BE49-F238E27FC236}">
                  <a16:creationId xmlns:a16="http://schemas.microsoft.com/office/drawing/2014/main" id="{8FD1CFDC-B9DE-464D-AE95-C1DE3A729885}"/>
                </a:ext>
              </a:extLst>
            </xdr:cNvPr>
            <xdr:cNvPicPr>
              <a:picLocks noChangeAspect="1" noChangeArrowheads="1"/>
              <a:extLst>
                <a:ext uri="{84589F7E-364E-4C9E-8A38-B11213B215E9}">
                  <a14:cameraTool cellRange="PivotTables!$I$64:$L$69" spid="_x0000_s4216"/>
                </a:ext>
              </a:extLst>
            </xdr:cNvPicPr>
          </xdr:nvPicPr>
          <xdr:blipFill>
            <a:blip xmlns:r="http://schemas.openxmlformats.org/officeDocument/2006/relationships" r:embed="rId10"/>
            <a:srcRect/>
            <a:stretch>
              <a:fillRect/>
            </a:stretch>
          </xdr:blipFill>
          <xdr:spPr bwMode="auto">
            <a:xfrm>
              <a:off x="228597" y="4446494"/>
              <a:ext cx="3712029" cy="1671279"/>
            </a:xfrm>
            <a:prstGeom prst="rect">
              <a:avLst/>
            </a:prstGeom>
            <a:noFill/>
            <a:ln>
              <a:solidFill>
                <a:schemeClr val="accent2">
                  <a:lumMod val="75000"/>
                </a:schemeClr>
              </a:solid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261258</xdr:colOff>
      <xdr:row>0</xdr:row>
      <xdr:rowOff>152400</xdr:rowOff>
    </xdr:from>
    <xdr:to>
      <xdr:col>18</xdr:col>
      <xdr:colOff>261258</xdr:colOff>
      <xdr:row>3</xdr:row>
      <xdr:rowOff>62753</xdr:rowOff>
    </xdr:to>
    <mc:AlternateContent xmlns:mc="http://schemas.openxmlformats.org/markup-compatibility/2006" xmlns:a14="http://schemas.microsoft.com/office/drawing/2010/main">
      <mc:Choice Requires="a14">
        <xdr:graphicFrame macro="">
          <xdr:nvGraphicFramePr>
            <xdr:cNvPr id="57" name="Year 1">
              <a:extLst>
                <a:ext uri="{FF2B5EF4-FFF2-40B4-BE49-F238E27FC236}">
                  <a16:creationId xmlns:a16="http://schemas.microsoft.com/office/drawing/2014/main" id="{6B9DBB29-ABA2-445C-B2ED-3EE59C8A0F6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05258" y="152400"/>
              <a:ext cx="1828800" cy="448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102645</xdr:colOff>
      <xdr:row>15</xdr:row>
      <xdr:rowOff>65314</xdr:rowOff>
    </xdr:from>
    <xdr:to>
      <xdr:col>23</xdr:col>
      <xdr:colOff>158162</xdr:colOff>
      <xdr:row>37</xdr:row>
      <xdr:rowOff>143436</xdr:rowOff>
    </xdr:to>
    <mc:AlternateContent xmlns:mc="http://schemas.openxmlformats.org/markup-compatibility/2006" xmlns:a14="http://schemas.microsoft.com/office/drawing/2010/main">
      <mc:Choice Requires="a14">
        <xdr:graphicFrame macro="">
          <xdr:nvGraphicFramePr>
            <xdr:cNvPr id="58" name="Month 1">
              <a:extLst>
                <a:ext uri="{FF2B5EF4-FFF2-40B4-BE49-F238E27FC236}">
                  <a16:creationId xmlns:a16="http://schemas.microsoft.com/office/drawing/2014/main" id="{FDB17979-7AAE-4630-AC25-610F57E106C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904245" y="2754726"/>
              <a:ext cx="1274717" cy="4022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484094</xdr:colOff>
      <xdr:row>22</xdr:row>
      <xdr:rowOff>8964</xdr:rowOff>
    </xdr:from>
    <xdr:to>
      <xdr:col>20</xdr:col>
      <xdr:colOff>591670</xdr:colOff>
      <xdr:row>37</xdr:row>
      <xdr:rowOff>62753</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4AF48FA0-7FBD-4D82-A497-1A771673B0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018494" y="4032324"/>
              <a:ext cx="3765176" cy="27969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0231484" backgroundQuery="1" createdVersion="8" refreshedVersion="8" minRefreshableVersion="3" recordCount="0" supportSubquery="1" supportAdvancedDrill="1" xr:uid="{ECA601B0-6103-42E5-872E-11D3FCE5A39A}">
  <cacheSource type="external" connectionId="3"/>
  <cacheFields count="5">
    <cacheField name="[Measures].[Sum of Negotiated Total]" caption="Sum of Negotiated Total" numFmtId="0" hierarchy="40" level="32767"/>
    <cacheField name="[Measures].[Sum of Quantity]" caption="Sum of Quantity" numFmtId="0" hierarchy="44" level="32767"/>
    <cacheField name="[Procurement_KPI_Analysis_Dataset].[Item_Category].[Item_Category]" caption="Item_Category" numFmtId="0" hierarchy="12" level="1">
      <sharedItems count="5">
        <s v="Electronics"/>
        <s v="MRO"/>
        <s v="Office Supplies"/>
        <s v="Packaging"/>
        <s v="Raw Materials"/>
      </sharedItems>
    </cacheField>
    <cacheField name="[Procurement_KPI_Analysis_Dataset].[Order_Date].[Order_Date]" caption="Order_Date" numFmtId="0" hierarchy="10" level="1">
      <sharedItems containsSemiMixedTypes="0" containsNonDate="0" containsString="0"/>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2" memberValueDatatype="7" unbalanced="0">
      <fieldsUsage count="2">
        <fieldUsage x="-1"/>
        <fieldUsage x="3"/>
      </fieldsUsage>
    </cacheHierarchy>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fieldsUsage count="2">
        <fieldUsage x="-1"/>
        <fieldUsage x="2"/>
      </fieldsUsage>
    </cacheHierarchy>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0231484" backgroundQuery="1" createdVersion="8" refreshedVersion="8" minRefreshableVersion="3" recordCount="0" supportSubquery="1" supportAdvancedDrill="1" xr:uid="{088D7B5B-1BA5-4DB2-B6EF-9A9CEF4E98E8}">
  <cacheSource type="external" connectionId="3"/>
  <cacheFields count="2">
    <cacheField name="[Measures].[Average of Defect Rate]" caption="Average of Defect Rate" numFmtId="0" hierarchy="47"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0347223" backgroundQuery="1" createdVersion="8" refreshedVersion="8" minRefreshableVersion="3" recordCount="0" supportSubquery="1" supportAdvancedDrill="1" xr:uid="{DCF8818C-E149-440D-BED6-458BA41444BE}">
  <cacheSource type="external" connectionId="3"/>
  <cacheFields count="2">
    <cacheField name="[Measures].[Sum of Cost Savings]" caption="Sum of Cost Savings" numFmtId="0" hierarchy="41"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0347223" backgroundQuery="1" createdVersion="8" refreshedVersion="8" minRefreshableVersion="3" recordCount="0" supportSubquery="1" supportAdvancedDrill="1" xr:uid="{3DDD0F07-74FC-4968-A5D6-225E1B526110}">
  <cacheSource type="external" connectionId="3"/>
  <cacheFields count="2">
    <cacheField name="[Measures].[Average of Negotiated Total]" caption="Average of Negotiated Total" numFmtId="0" hierarchy="42"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0694446" backgroundQuery="1" createdVersion="8" refreshedVersion="8" minRefreshableVersion="3" recordCount="0" supportSubquery="1" supportAdvancedDrill="1" xr:uid="{342F3688-66F9-42D1-BC36-5396E858A783}">
  <cacheSource type="external" connectionId="3"/>
  <cacheFields count="4">
    <cacheField name="[Procurement_KPI_Analysis_Dataset].[Order_Status].[Order_Status]" caption="Order_Status" numFmtId="0" hierarchy="14" level="1">
      <sharedItems count="4">
        <s v="Cancelled"/>
        <s v="Delivered"/>
        <s v="Partially Delivered"/>
        <s v="Pending"/>
      </sharedItems>
    </cacheField>
    <cacheField name="[Measures].[Count of Order_Status]" caption="Count of Order_Status" numFmtId="0" hierarchy="43" level="32767"/>
    <cacheField name="[Calendar].[Year].[Year]" caption="Year" numFmtId="0" hierarchy="2" level="1">
      <sharedItems containsSemiMixedTypes="0" containsNonDate="0" containsString="0"/>
    </cacheField>
    <cacheField name="Unsupported0" numFmtId="0" hierarchy="51" level="32767">
      <extLst>
        <ext xmlns:x14="http://schemas.microsoft.com/office/spreadsheetml/2009/9/main" uri="{63CAB8AC-B538-458d-9737-405883B0398D}">
          <x14:cacheField ignore="1"/>
        </ext>
      </extLst>
    </cacheField>
  </cacheFields>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fieldsUsage count="2">
        <fieldUsage x="-1"/>
        <fieldUsage x="0"/>
      </fieldsUsage>
    </cacheHierarchy>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1157408" backgroundQuery="1" createdVersion="8" refreshedVersion="8" minRefreshableVersion="3" recordCount="0" supportSubquery="1" supportAdvancedDrill="1" xr:uid="{171974C7-940D-42E7-8772-4708836374F3}">
  <cacheSource type="external" connectionId="3"/>
  <cacheFields count="4">
    <cacheField name="[Procurement_KPI_Analysis_Dataset].[Order_Status].[Order_Status]" caption="Order_Status" numFmtId="0" hierarchy="14" level="1">
      <sharedItems count="4">
        <s v="Cancelled"/>
        <s v="Delivered"/>
        <s v="Partially Delivered"/>
        <s v="Pending"/>
      </sharedItems>
    </cacheField>
    <cacheField name="[Measures].[Count of Order_Status]" caption="Count of Order_Status" numFmtId="0" hierarchy="43" level="32767"/>
    <cacheField name="[Calendar].[Month].[Month]" caption="Month" numFmtId="0" hierarchy="4" level="1">
      <sharedItems count="12">
        <s v="January"/>
        <s v="February"/>
        <s v="March"/>
        <s v="April"/>
        <s v="May"/>
        <s v="June"/>
        <s v="July"/>
        <s v="August"/>
        <s v="September"/>
        <s v="October"/>
        <s v="November"/>
        <s v="December"/>
      </sharedItems>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fieldsUsage count="2">
        <fieldUsage x="-1"/>
        <fieldUsage x="0"/>
      </fieldsUsage>
    </cacheHierarchy>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1504631" backgroundQuery="1" createdVersion="8" refreshedVersion="8" minRefreshableVersion="3" recordCount="0" supportSubquery="1" supportAdvancedDrill="1" xr:uid="{134F741F-6156-4181-9EF0-1DD3CA012C14}">
  <cacheSource type="external" connectionId="3"/>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Sum of Negotiated Total]" caption="Sum of Negotiated Total" numFmtId="0" hierarchy="40" level="32767"/>
    <cacheField name="[Measures].[Sum of Quantity]" caption="Sum of Quantity" numFmtId="0" hierarchy="44"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1736109" backgroundQuery="1" createdVersion="8" refreshedVersion="8" minRefreshableVersion="3" recordCount="0" supportSubquery="1" supportAdvancedDrill="1" xr:uid="{685EA800-7C26-4B7A-94FA-24B532488E67}">
  <cacheSource type="external" connectionId="3"/>
  <cacheFields count="3">
    <cacheField name="[Procurement_KPI_Analysis_Dataset].[Supplier].[Supplier]" caption="Supplier" numFmtId="0" hierarchy="9" level="1">
      <sharedItems count="5">
        <s v="Alpha_Inc"/>
        <s v="Beta_Supplies"/>
        <s v="Delta_Logistics"/>
        <s v="Epsilon_Group"/>
        <s v="Gamma_Co"/>
      </sharedItems>
    </cacheField>
    <cacheField name="[Measures].[Average of Negotiation Difference %]" caption="Average of Negotiation Difference %" numFmtId="0" hierarchy="49"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fieldsUsage count="2">
        <fieldUsage x="-1"/>
        <fieldUsage x="0"/>
      </fieldsUsage>
    </cacheHierarchy>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2199071" backgroundQuery="1" createdVersion="8" refreshedVersion="8" minRefreshableVersion="3" recordCount="0" supportSubquery="1" supportAdvancedDrill="1" xr:uid="{F262A9E2-A7ED-4F78-91A6-BC4BB2E79A7E}">
  <cacheSource type="external" connectionId="3"/>
  <cacheFields count="5">
    <cacheField name="[Procurement_KPI_Analysis_Dataset].[Supplier].[Supplier]" caption="Supplier" numFmtId="0" hierarchy="9" level="1">
      <sharedItems count="5">
        <s v="Alpha_Inc"/>
        <s v="Beta_Supplies"/>
        <s v="Delta_Logistics"/>
        <s v="Epsilon_Group"/>
        <s v="Gamma_Co"/>
      </sharedItems>
    </cacheField>
    <cacheField name="[Measures].[Sum of Quantity]" caption="Sum of Quantity" numFmtId="0" hierarchy="44" level="32767"/>
    <cacheField name="[Measures].[Sum of Defective_Units]" caption="Sum of Defective_Units" numFmtId="0" hierarchy="45" level="32767"/>
    <cacheField name="[Measures].[Sum of Negotiated Total]" caption="Sum of Negotiated Total" numFmtId="0" hierarchy="40"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2"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fieldsUsage count="2">
        <fieldUsage x="-1"/>
        <fieldUsage x="0"/>
      </fieldsUsage>
    </cacheHierarchy>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2"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2"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2"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2"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2"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2"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2"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2"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2"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2"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2"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2"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2"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2"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2"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2"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2"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6134258" backgroundQuery="1" createdVersion="8" refreshedVersion="8" minRefreshableVersion="3" recordCount="0" supportSubquery="1" supportAdvancedDrill="1" xr:uid="{B66C5628-7ABD-4CA3-B7F0-5C9D5B18F90C}">
  <cacheSource type="external" connectionId="3"/>
  <cacheFields count="4">
    <cacheField name="[Procurement_KPI_Analysis_Dataset].[Supplier].[Supplier]" caption="Supplier" numFmtId="0" hierarchy="9" level="1">
      <sharedItems count="5">
        <s v="Alpha_Inc"/>
        <s v="Beta_Supplies"/>
        <s v="Delta_Logistics"/>
        <s v="Epsilon_Group"/>
        <s v="Gamma_Co"/>
      </sharedItems>
    </cacheField>
    <cacheField name="[Procurement_KPI_Analysis_Dataset].[Item_Category].[Item_Category]" caption="Item_Category" numFmtId="0" hierarchy="12" level="1">
      <sharedItems count="5">
        <s v="Electronics"/>
        <s v="MRO"/>
        <s v="Office Supplies"/>
        <s v="Packaging"/>
        <s v="Raw Materials"/>
      </sharedItems>
    </cacheField>
    <cacheField name="[Measures].[Sum of Quantity]" caption="Sum of Quantity" numFmtId="0" hierarchy="44"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fieldsUsage count="2">
        <fieldUsage x="-1"/>
        <fieldUsage x="0"/>
      </fieldsUsage>
    </cacheHierarchy>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fieldsUsage count="2">
        <fieldUsage x="-1"/>
        <fieldUsage x="1"/>
      </fieldsUsage>
    </cacheHierarchy>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6481481" backgroundQuery="1" createdVersion="8" refreshedVersion="8" minRefreshableVersion="3" recordCount="0" supportSubquery="1" supportAdvancedDrill="1" xr:uid="{FAA34F81-972F-4FDC-985D-6FDE5A2CAFA1}">
  <cacheSource type="external" connectionId="3"/>
  <cacheFields count="3">
    <cacheField name="[Procurement_KPI_Analysis_Dataset].[Supplier].[Supplier]" caption="Supplier" numFmtId="0" hierarchy="9" level="1">
      <sharedItems count="5">
        <s v="Alpha_Inc"/>
        <s v="Beta_Supplies"/>
        <s v="Delta_Logistics"/>
        <s v="Epsilon_Group"/>
        <s v="Gamma_Co"/>
      </sharedItems>
    </cacheField>
    <cacheField name="[Measures].[Sum of Cost Savings]" caption="Sum of Cost Savings" numFmtId="0" hierarchy="41"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fieldsUsage count="2">
        <fieldUsage x="-1"/>
        <fieldUsage x="0"/>
      </fieldsUsage>
    </cacheHierarchy>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6828704" backgroundQuery="1" createdVersion="8" refreshedVersion="8" minRefreshableVersion="3" recordCount="0" supportSubquery="1" supportAdvancedDrill="1" xr:uid="{0036B249-2F40-4C1A-BCD4-1CC3D69F00CA}">
  <cacheSource type="external" connectionId="3"/>
  <cacheFields count="2">
    <cacheField name="[Measures].[Sum of Negotiated Total]" caption="Sum of Negotiated Total" numFmtId="0" hierarchy="40" level="32767"/>
    <cacheField name="[Calendar].[Year].[Year]" caption="Year" numFmtId="0" hierarchy="2"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Calendar].[Year].&amp;[2022]"/>
            <x15:cachedUniqueName index="1" name="[Calendar].[Year].&amp;[2023]"/>
            <x15:cachedUniqueName index="2" name="[Calendar].[Year].&amp;[2024]"/>
          </x15:cachedUniqueNames>
        </ext>
      </extLst>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291666" backgroundQuery="1" createdVersion="8" refreshedVersion="8" minRefreshableVersion="3" recordCount="0" supportSubquery="1" supportAdvancedDrill="1" xr:uid="{82BA2314-7E48-4CDC-8E9B-994A1B7BFBD6}">
  <cacheSource type="external" connectionId="3"/>
  <cacheFields count="3">
    <cacheField name="[Measures].[Average of Delivery Duration (Days)]" caption="Average of Delivery Duration (Days)" numFmtId="0" hierarchy="39" level="32767"/>
    <cacheField name="[Procurement_KPI_Analysis_Dataset].[Supplier].[Supplier]" caption="Supplier" numFmtId="0" hierarchy="9" level="1">
      <sharedItems count="5">
        <s v="Alpha_Inc"/>
        <s v="Beta_Supplies"/>
        <s v="Delta_Logistics"/>
        <s v="Epsilon_Group"/>
        <s v="Gamma_Co"/>
      </sharedItems>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fieldsUsage count="2">
        <fieldUsage x="-1"/>
        <fieldUsage x="1"/>
      </fieldsUsage>
    </cacheHierarchy>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407405" backgroundQuery="1" createdVersion="8" refreshedVersion="8" minRefreshableVersion="3" recordCount="0" supportSubquery="1" supportAdvancedDrill="1" xr:uid="{CBFDFD74-2BDB-45C8-AB20-4D58A25E61B9}">
  <cacheSource type="external" connectionId="3"/>
  <cacheFields count="2">
    <cacheField name="[Measures].[Distinct Count of PO_ID]" caption="Distinct Count of PO_ID" numFmtId="0" hierarchy="37"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407405" backgroundQuery="1" createdVersion="8" refreshedVersion="8" minRefreshableVersion="3" recordCount="0" supportSubquery="1" supportAdvancedDrill="1" xr:uid="{93BE167D-881D-4D5E-900E-10D22AFC964D}">
  <cacheSource type="external" connectionId="3"/>
  <cacheFields count="2">
    <cacheField name="[Measures].[Distinct Count of Supplier]" caption="Distinct Count of Supplier" numFmtId="0" hierarchy="33"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523151" backgroundQuery="1" createdVersion="8" refreshedVersion="8" minRefreshableVersion="3" recordCount="0" supportSubquery="1" supportAdvancedDrill="1" xr:uid="{185CDB97-B2D6-442B-8561-FC8B3C288C24}">
  <cacheSource type="external" connectionId="3"/>
  <cacheFields count="2">
    <cacheField name="[Measures].[Distinct Count of Item_Category]" caption="Distinct Count of Item_Category" numFmtId="0" hierarchy="35"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523151" backgroundQuery="1" createdVersion="8" refreshedVersion="8" minRefreshableVersion="3" recordCount="0" supportSubquery="1" supportAdvancedDrill="1" xr:uid="{6C704A0D-0F5C-4D67-8FC8-814495BA2ADA}">
  <cacheSource type="external" connectionId="3"/>
  <cacheFields count="2">
    <cacheField name="[Measures].[Average of Delivery Duration (Days)]" caption="Average of Delivery Duration (Days)" numFmtId="0" hierarchy="39"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523151" backgroundQuery="1" createdVersion="8" refreshedVersion="8" minRefreshableVersion="3" recordCount="0" supportSubquery="1" supportAdvancedDrill="1" xr:uid="{092707B3-1C1F-4565-B46A-872628F2C761}">
  <cacheSource type="external" connectionId="3"/>
  <cacheFields count="2">
    <cacheField name="[Measures].[Sum of Negotiated Total]" caption="Sum of Negotiated Total" numFmtId="0" hierarchy="40"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134957638889" backgroundQuery="1" createdVersion="8" refreshedVersion="8" minRefreshableVersion="3" recordCount="0" supportSubquery="1" supportAdvancedDrill="1" xr:uid="{7118B663-0AC4-46A4-B7A1-08F134CD2154}">
  <cacheSource type="external" connectionId="3"/>
  <cacheFields count="2">
    <cacheField name="[Measures].[Sum of Defective_Units]" caption="Sum of Defective_Units" numFmtId="0" hierarchy="45"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Procurement_KPI_Analysis_Dataset" uniqueName="[Procurement_KPI_Analysis_Dataset]" caption="Procurement_KPI_Analysis_Dataset"/>
  </dimensions>
  <measureGroups count="2">
    <measureGroup name="Calendar" caption="Calendar"/>
    <measureGroup name="Procurement_KPI_Analysis_Dataset" caption="Procurement_KPI_Analysi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062338425923" backgroundQuery="1" createdVersion="3" refreshedVersion="8" minRefreshableVersion="3" recordCount="0" supportSubquery="1" supportAdvancedDrill="1" xr:uid="{58952874-9949-4871-A8DA-6FA453FE7521}">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0"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2"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000886682"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6089.066425925928" backgroundQuery="1" createdVersion="3" refreshedVersion="8" minRefreshableVersion="3" recordCount="0" supportSubquery="1" supportAdvancedDrill="1" xr:uid="{0C5DBBAE-7D21-4D53-9996-F8AE163FEFF7}">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curement_KPI_Analysis_Dataset].[PO_ID]" caption="PO_ID" attribute="1" defaultMemberUniqueName="[Procurement_KPI_Analysis_Dataset].[PO_ID].[All]" allUniqueName="[Procurement_KPI_Analysis_Dataset].[PO_ID].[All]" dimensionUniqueName="[Procurement_KPI_Analysis_Dataset]" displayFolder="" count="0" memberValueDatatype="130" unbalanced="0"/>
    <cacheHierarchy uniqueName="[Procurement_KPI_Analysis_Dataset].[Supplier]" caption="Supplier" attribute="1" defaultMemberUniqueName="[Procurement_KPI_Analysis_Dataset].[Supplier].[All]" allUniqueName="[Procurement_KPI_Analysis_Dataset].[Supplier].[All]" dimensionUniqueName="[Procurement_KPI_Analysis_Dataset]" displayFolder="" count="2" memberValueDatatype="130" unbalanced="0"/>
    <cacheHierarchy uniqueName="[Procurement_KPI_Analysis_Dataset].[Order_Date]" caption="Order_Date" attribute="1" time="1" defaultMemberUniqueName="[Procurement_KPI_Analysis_Dataset].[Order_Date].[All]" allUniqueName="[Procurement_KPI_Analysis_Dataset].[Order_Date].[All]" dimensionUniqueName="[Procurement_KPI_Analysis_Dataset]" displayFolder="" count="0" memberValueDatatype="7" unbalanced="0"/>
    <cacheHierarchy uniqueName="[Procurement_KPI_Analysis_Dataset].[Delivery_Date]" caption="Delivery_Date" attribute="1" time="1" defaultMemberUniqueName="[Procurement_KPI_Analysis_Dataset].[Delivery_Date].[All]" allUniqueName="[Procurement_KPI_Analysis_Dataset].[Delivery_Date].[All]" dimensionUniqueName="[Procurement_KPI_Analysis_Dataset]" displayFolder="" count="0" memberValueDatatype="7" unbalanced="0"/>
    <cacheHierarchy uniqueName="[Procurement_KPI_Analysis_Dataset].[Item_Category]" caption="Item_Category" attribute="1" defaultMemberUniqueName="[Procurement_KPI_Analysis_Dataset].[Item_Category].[All]" allUniqueName="[Procurement_KPI_Analysis_Dataset].[Item_Category].[All]" dimensionUniqueName="[Procurement_KPI_Analysis_Dataset]" displayFolder="" count="2" memberValueDatatype="130" unbalanced="0"/>
    <cacheHierarchy uniqueName="[Procurement_KPI_Analysis_Dataset].[Delivery Duration (Days)]" caption="Delivery Duration (Days)" attribute="1" defaultMemberUniqueName="[Procurement_KPI_Analysis_Dataset].[Delivery Duration (Days)].[All]" allUniqueName="[Procurement_KPI_Analysis_Dataset].[Delivery Duration (Days)].[All]" dimensionUniqueName="[Procurement_KPI_Analysis_Dataset]" displayFolder="" count="0" memberValueDatatype="20" unbalanced="0"/>
    <cacheHierarchy uniqueName="[Procurement_KPI_Analysis_Dataset].[Order_Status]" caption="Order_Status" attribute="1" defaultMemberUniqueName="[Procurement_KPI_Analysis_Dataset].[Order_Status].[All]" allUniqueName="[Procurement_KPI_Analysis_Dataset].[Order_Status].[All]" dimensionUniqueName="[Procurement_KPI_Analysis_Dataset]" displayFolder="" count="0" memberValueDatatype="130" unbalanced="0"/>
    <cacheHierarchy uniqueName="[Procurement_KPI_Analysis_Dataset].[Quantity]" caption="Quantity" attribute="1" defaultMemberUniqueName="[Procurement_KPI_Analysis_Dataset].[Quantity].[All]" allUniqueName="[Procurement_KPI_Analysis_Dataset].[Quantity].[All]" dimensionUniqueName="[Procurement_KPI_Analysis_Dataset]" displayFolder="" count="0" memberValueDatatype="20" unbalanced="0"/>
    <cacheHierarchy uniqueName="[Procurement_KPI_Analysis_Dataset].[Unit_Price]" caption="Unit_Price" attribute="1" defaultMemberUniqueName="[Procurement_KPI_Analysis_Dataset].[Unit_Price].[All]" allUniqueName="[Procurement_KPI_Analysis_Dataset].[Unit_Price].[All]" dimensionUniqueName="[Procurement_KPI_Analysis_Dataset]" displayFolder="" count="0" memberValueDatatype="5" unbalanced="0"/>
    <cacheHierarchy uniqueName="[Procurement_KPI_Analysis_Dataset].[Negotiated_Price]" caption="Negotiated_Price" attribute="1" defaultMemberUniqueName="[Procurement_KPI_Analysis_Dataset].[Negotiated_Price].[All]" allUniqueName="[Procurement_KPI_Analysis_Dataset].[Negotiated_Price].[All]" dimensionUniqueName="[Procurement_KPI_Analysis_Dataset]" displayFolder="" count="0" memberValueDatatype="5" unbalanced="0"/>
    <cacheHierarchy uniqueName="[Procurement_KPI_Analysis_Dataset].[Actual Total]" caption="Actual Total" attribute="1" defaultMemberUniqueName="[Procurement_KPI_Analysis_Dataset].[Actual Total].[All]" allUniqueName="[Procurement_KPI_Analysis_Dataset].[Actual Total].[All]" dimensionUniqueName="[Procurement_KPI_Analysis_Dataset]" displayFolder="" count="0" memberValueDatatype="5" unbalanced="0"/>
    <cacheHierarchy uniqueName="[Procurement_KPI_Analysis_Dataset].[Negotiated Total]" caption="Negotiated Total" attribute="1" defaultMemberUniqueName="[Procurement_KPI_Analysis_Dataset].[Negotiated Total].[All]" allUniqueName="[Procurement_KPI_Analysis_Dataset].[Negotiated Total].[All]" dimensionUniqueName="[Procurement_KPI_Analysis_Dataset]" displayFolder="" count="0" memberValueDatatype="5" unbalanced="0"/>
    <cacheHierarchy uniqueName="[Procurement_KPI_Analysis_Dataset].[Negotiation Difference %]" caption="Negotiation Difference %" attribute="1" defaultMemberUniqueName="[Procurement_KPI_Analysis_Dataset].[Negotiation Difference %].[All]" allUniqueName="[Procurement_KPI_Analysis_Dataset].[Negotiation Difference %].[All]" dimensionUniqueName="[Procurement_KPI_Analysis_Dataset]" displayFolder="" count="0" memberValueDatatype="5" unbalanced="0"/>
    <cacheHierarchy uniqueName="[Procurement_KPI_Analysis_Dataset].[Defective_Units]" caption="Defective_Units" attribute="1" defaultMemberUniqueName="[Procurement_KPI_Analysis_Dataset].[Defective_Units].[All]" allUniqueName="[Procurement_KPI_Analysis_Dataset].[Defective_Units].[All]" dimensionUniqueName="[Procurement_KPI_Analysis_Dataset]" displayFolder="" count="0" memberValueDatatype="20" unbalanced="0"/>
    <cacheHierarchy uniqueName="[Procurement_KPI_Analysis_Dataset].[Compliance]" caption="Compliance" attribute="1" defaultMemberUniqueName="[Procurement_KPI_Analysis_Dataset].[Compliance].[All]" allUniqueName="[Procurement_KPI_Analysis_Dataset].[Compliance].[All]" dimensionUniqueName="[Procurement_KPI_Analysis_Dataset]" displayFolder="" count="0" memberValueDatatype="130" unbalanced="0"/>
    <cacheHierarchy uniqueName="[Procurement_KPI_Analysis_Dataset].[Defect Rate]" caption="Defect Rate" attribute="1" defaultMemberUniqueName="[Procurement_KPI_Analysis_Dataset].[Defect Rate].[All]" allUniqueName="[Procurement_KPI_Analysis_Dataset].[Defect Rate].[All]" dimensionUniqueName="[Procurement_KPI_Analysis_Dataset]" displayFolder="" count="0" memberValueDatatype="5" unbalanced="0"/>
    <cacheHierarchy uniqueName="[Procurement_KPI_Analysis_Dataset].[Cost Savings]" caption="Cost Savings" attribute="1" defaultMemberUniqueName="[Procurement_KPI_Analysis_Dataset].[Cost Savings].[All]" allUniqueName="[Procurement_KPI_Analysis_Dataset].[Cost Savings].[All]" dimensionUniqueName="[Procurement_KPI_Analysis_Dataset]" displayFolder="" count="0" memberValueDatatype="5" unbalanced="0"/>
    <cacheHierarchy uniqueName="[Procurement_KPI_Analysis_Dataset].[Order_Date (Year)]" caption="Order_Date (Year)" attribute="1" defaultMemberUniqueName="[Procurement_KPI_Analysis_Dataset].[Order_Date (Year)].[All]" allUniqueName="[Procurement_KPI_Analysis_Dataset].[Order_Date (Year)].[All]" dimensionUniqueName="[Procurement_KPI_Analysis_Dataset]" displayFolder="" count="0" memberValueDatatype="130" unbalanced="0"/>
    <cacheHierarchy uniqueName="[Procurement_KPI_Analysis_Dataset].[Order_Date (Quarter)]" caption="Order_Date (Quarter)" attribute="1" defaultMemberUniqueName="[Procurement_KPI_Analysis_Dataset].[Order_Date (Quarter)].[All]" allUniqueName="[Procurement_KPI_Analysis_Dataset].[Order_Date (Quarter)].[All]" dimensionUniqueName="[Procurement_KPI_Analysis_Dataset]" displayFolder="" count="0" memberValueDatatype="130" unbalanced="0"/>
    <cacheHierarchy uniqueName="[Procurement_KPI_Analysis_Dataset].[Order_Date (Month)]" caption="Order_Date (Month)" attribute="1" defaultMemberUniqueName="[Procurement_KPI_Analysis_Dataset].[Order_Date (Month)].[All]" allUniqueName="[Procurement_KPI_Analysis_Dataset].[Order_Date (Month)].[All]" dimensionUniqueName="[Procurement_KPI_Analysis_Dataset]" displayFolder="" count="0" memberValueDatatype="130" unbalanced="0"/>
    <cacheHierarchy uniqueName="[Procurement_KPI_Analysis_Dataset].[Order_Date (Month Index)]" caption="Order_Date (Month Index)" attribute="1" defaultMemberUniqueName="[Procurement_KPI_Analysis_Dataset].[Order_Date (Month Index)].[All]" allUniqueName="[Procurement_KPI_Analysis_Dataset].[Order_Date (Month Index)].[All]" dimensionUniqueName="[Procurement_KPI_Analysis_Dataset]" displayFolder="" count="0" memberValueDatatype="20" unbalanced="0" hidden="1"/>
    <cacheHierarchy uniqueName="[Measures].[__XL_Count Procurement_KPI_Analysis_Dataset]" caption="__XL_Count Procurement_KPI_Analysis_Dataset" measure="1" displayFolder="" measureGroup="Procurement_KPI_Analysi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Supplier]" caption="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Distinct Count of Supplier]" caption="Distinct Count of Supplier" measure="1" displayFolder="" measureGroup="Procurement_KPI_Analysis_Dataset" count="0" hidden="1">
      <extLst>
        <ext xmlns:x15="http://schemas.microsoft.com/office/spreadsheetml/2010/11/main" uri="{B97F6D7D-B522-45F9-BDA1-12C45D357490}">
          <x15:cacheHierarchy aggregatedColumn="9"/>
        </ext>
      </extLst>
    </cacheHierarchy>
    <cacheHierarchy uniqueName="[Measures].[Count of Item_Category]" caption="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Distinct Count of Item_Category]" caption="Distinct Count of Item_Category" measure="1" displayFolder="" measureGroup="Procurement_KPI_Analysis_Dataset" count="0" hidden="1">
      <extLst>
        <ext xmlns:x15="http://schemas.microsoft.com/office/spreadsheetml/2010/11/main" uri="{B97F6D7D-B522-45F9-BDA1-12C45D357490}">
          <x15:cacheHierarchy aggregatedColumn="12"/>
        </ext>
      </extLst>
    </cacheHierarchy>
    <cacheHierarchy uniqueName="[Measures].[Count of PO_ID]" caption="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Distinct Count of PO_ID]" caption="Distinct Count of PO_ID" measure="1" displayFolder="" measureGroup="Procurement_KPI_Analysis_Dataset" count="0" hidden="1">
      <extLst>
        <ext xmlns:x15="http://schemas.microsoft.com/office/spreadsheetml/2010/11/main" uri="{B97F6D7D-B522-45F9-BDA1-12C45D357490}">
          <x15:cacheHierarchy aggregatedColumn="8"/>
        </ext>
      </extLst>
    </cacheHierarchy>
    <cacheHierarchy uniqueName="[Measures].[Sum of Delivery Duration (Days)]" caption="Sum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Average of Delivery Duration (Days)]" caption="Average of Delivery Duration (Days)" measure="1" displayFolder="" measureGroup="Procurement_KPI_Analysis_Dataset" count="0" hidden="1">
      <extLst>
        <ext xmlns:x15="http://schemas.microsoft.com/office/spreadsheetml/2010/11/main" uri="{B97F6D7D-B522-45F9-BDA1-12C45D357490}">
          <x15:cacheHierarchy aggregatedColumn="13"/>
        </ext>
      </extLst>
    </cacheHierarchy>
    <cacheHierarchy uniqueName="[Measures].[Sum of Negotiated Total]" caption="Sum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Sum of Cost Savings]" caption="Sum of Cost Savings" measure="1" displayFolder="" measureGroup="Procurement_KPI_Analysis_Dataset" count="0" hidden="1">
      <extLst>
        <ext xmlns:x15="http://schemas.microsoft.com/office/spreadsheetml/2010/11/main" uri="{B97F6D7D-B522-45F9-BDA1-12C45D357490}">
          <x15:cacheHierarchy aggregatedColumn="24"/>
        </ext>
      </extLst>
    </cacheHierarchy>
    <cacheHierarchy uniqueName="[Measures].[Average of Negotiated Total]" caption="Average of Negotiated Total" measure="1" displayFolder="" measureGroup="Procurement_KPI_Analysis_Dataset" count="0" hidden="1">
      <extLst>
        <ext xmlns:x15="http://schemas.microsoft.com/office/spreadsheetml/2010/11/main" uri="{B97F6D7D-B522-45F9-BDA1-12C45D357490}">
          <x15:cacheHierarchy aggregatedColumn="19"/>
        </ext>
      </extLst>
    </cacheHierarchy>
    <cacheHierarchy uniqueName="[Measures].[Count of Order_Status]" caption="Count of Order_Status" measure="1" displayFolder="" measureGroup="Procurement_KPI_Analysis_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Procurement_KPI_Analysis_Dataset" count="0" hidden="1">
      <extLst>
        <ext xmlns:x15="http://schemas.microsoft.com/office/spreadsheetml/2010/11/main" uri="{B97F6D7D-B522-45F9-BDA1-12C45D357490}">
          <x15:cacheHierarchy aggregatedColumn="15"/>
        </ext>
      </extLst>
    </cacheHierarchy>
    <cacheHierarchy uniqueName="[Measures].[Sum of Defective_Units]" caption="Sum of Defective_Units" measure="1" displayFolder="" measureGroup="Procurement_KPI_Analysis_Dataset" count="0" hidden="1">
      <extLst>
        <ext xmlns:x15="http://schemas.microsoft.com/office/spreadsheetml/2010/11/main" uri="{B97F6D7D-B522-45F9-BDA1-12C45D357490}">
          <x15:cacheHierarchy aggregatedColumn="21"/>
        </ext>
      </extLst>
    </cacheHierarchy>
    <cacheHierarchy uniqueName="[Measures].[Sum of Defect Rate]" caption="Sum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Average of Defect Rate]" caption="Average of Defect Rate" measure="1" displayFolder="" measureGroup="Procurement_KPI_Analysis_Dataset" count="0" hidden="1">
      <extLst>
        <ext xmlns:x15="http://schemas.microsoft.com/office/spreadsheetml/2010/11/main" uri="{B97F6D7D-B522-45F9-BDA1-12C45D357490}">
          <x15:cacheHierarchy aggregatedColumn="23"/>
        </ext>
      </extLst>
    </cacheHierarchy>
    <cacheHierarchy uniqueName="[Measures].[Sum of Negotiation Difference %]" caption="Sum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Average of Negotiation Difference %]" caption="Average of Negotiation Difference %" measure="1" displayFolder="" measureGroup="Procurement_KPI_Analysis_Dataset" count="0" hidden="1">
      <extLst>
        <ext xmlns:x15="http://schemas.microsoft.com/office/spreadsheetml/2010/11/main" uri="{B97F6D7D-B522-45F9-BDA1-12C45D357490}">
          <x15:cacheHierarchy aggregatedColumn="20"/>
        </ext>
      </extLst>
    </cacheHierarchy>
    <cacheHierarchy uniqueName="[Measures].[Sum of Negotiated_Price]" caption="Sum of Negotiated_Price" measure="1" displayFolder="" measureGroup="Procurement_KPI_Analysis_Dataset"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5431514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47C36F-DE25-46C9-B810-05353B005F43}" name="PivotTable3" cacheId="12" applyNumberFormats="0" applyBorderFormats="0" applyFontFormats="0" applyPatternFormats="0" applyAlignmentFormats="0" applyWidthHeightFormats="1" dataCaption="Values" tag="0a5b9669-c9cb-4d71-b5c1-b756f17f8296" updatedVersion="8" minRefreshableVersion="3" subtotalHiddenItems="1" itemPrintTitles="1" createdVersion="8" indent="0" multipleFieldFilters="0" chartFormat="38" rowHeaderCaption="Supplier">
  <location ref="B64:C70" firstHeaderRow="1" firstDataRow="1" firstDataCol="1"/>
  <pivotFields count="3">
    <pivotField dataField="1" showAll="0"/>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v="4"/>
    </i>
    <i>
      <x/>
    </i>
    <i>
      <x v="2"/>
    </i>
    <i>
      <x v="3"/>
    </i>
    <i>
      <x v="1"/>
    </i>
    <i t="grand">
      <x/>
    </i>
  </rowItems>
  <colItems count="1">
    <i/>
  </colItems>
  <dataFields count="1">
    <dataField name="Average of Delivery Duration (Days)" fld="0" subtotal="average" baseField="0" baseItem="0" numFmtId="166"/>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erage of Delivery Duration (Days)"/>
    <pivotHierarchy dragToData="1" caption="Total Cost"/>
    <pivotHierarchy dragToData="1" caption="Cost Savings"/>
    <pivotHierarchy dragToData="1" caption="Avg Order Cost"/>
    <pivotHierarchy dragToData="1" caption="Percent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C9721-E46A-48AA-94FF-D6BF2BFDDF7F}" name="PivotTable18" cacheId="9" applyNumberFormats="0" applyBorderFormats="0" applyFontFormats="0" applyPatternFormats="0" applyAlignmentFormats="0" applyWidthHeightFormats="1" dataCaption="Values" tag="0a5b9669-c9cb-4d71-b5c1-b756f17f8296" updatedVersion="8" minRefreshableVersion="3" subtotalHiddenItems="1" itemPrintTitles="1" createdVersion="8" indent="0" multipleFieldFilters="0" chartFormat="61" rowHeaderCaption="Supplier">
  <location ref="N64:T71" firstHeaderRow="1" firstDataRow="2" firstDataCol="1"/>
  <pivotFields count="4">
    <pivotField axis="axisRow" allDrilled="1" showAll="0" defaultAttributeDrillState="1">
      <items count="6">
        <item x="2"/>
        <item x="0"/>
        <item x="1"/>
        <item x="3"/>
        <item x="4"/>
        <item t="default"/>
      </items>
    </pivotField>
    <pivotField axis="axisCol"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Quantity" fld="2" showDataAs="percentOfRow" baseField="0" baseItem="0" numFmtId="10"/>
  </dataFields>
  <formats count="4">
    <format dxfId="6">
      <pivotArea type="all" dataOnly="0" outline="0" fieldPosition="0"/>
    </format>
    <format dxfId="5">
      <pivotArea dataOnly="0" labelOnly="1" outline="0" axis="axisValues" fieldPosition="0"/>
    </format>
    <format dxfId="4">
      <pivotArea outline="0" collapsedLevelsAreSubtotals="1" fieldPosition="0"/>
    </format>
    <format dxfId="3">
      <pivotArea outline="0" fieldPosition="0">
        <references count="1">
          <reference field="4294967294" count="1">
            <x v="0"/>
          </reference>
        </references>
      </pivotArea>
    </format>
  </formats>
  <chartFormats count="15">
    <chartFormat chart="54" format="5" series="1">
      <pivotArea type="data" outline="0" fieldPosition="0">
        <references count="2">
          <reference field="4294967294" count="1" selected="0">
            <x v="0"/>
          </reference>
          <reference field="1" count="1" selected="0">
            <x v="0"/>
          </reference>
        </references>
      </pivotArea>
    </chartFormat>
    <chartFormat chart="54" format="6" series="1">
      <pivotArea type="data" outline="0" fieldPosition="0">
        <references count="2">
          <reference field="4294967294" count="1" selected="0">
            <x v="0"/>
          </reference>
          <reference field="1" count="1" selected="0">
            <x v="1"/>
          </reference>
        </references>
      </pivotArea>
    </chartFormat>
    <chartFormat chart="54" format="7" series="1">
      <pivotArea type="data" outline="0" fieldPosition="0">
        <references count="2">
          <reference field="4294967294" count="1" selected="0">
            <x v="0"/>
          </reference>
          <reference field="1" count="1" selected="0">
            <x v="2"/>
          </reference>
        </references>
      </pivotArea>
    </chartFormat>
    <chartFormat chart="54" format="8" series="1">
      <pivotArea type="data" outline="0" fieldPosition="0">
        <references count="2">
          <reference field="4294967294" count="1" selected="0">
            <x v="0"/>
          </reference>
          <reference field="1" count="1" selected="0">
            <x v="3"/>
          </reference>
        </references>
      </pivotArea>
    </chartFormat>
    <chartFormat chart="54" format="9" series="1">
      <pivotArea type="data" outline="0" fieldPosition="0">
        <references count="2">
          <reference field="4294967294" count="1" selected="0">
            <x v="0"/>
          </reference>
          <reference field="1" count="1" selected="0">
            <x v="4"/>
          </reference>
        </references>
      </pivotArea>
    </chartFormat>
    <chartFormat chart="56" format="0" series="1">
      <pivotArea type="data" outline="0" fieldPosition="0">
        <references count="2">
          <reference field="4294967294" count="1" selected="0">
            <x v="0"/>
          </reference>
          <reference field="1" count="1" selected="0">
            <x v="0"/>
          </reference>
        </references>
      </pivotArea>
    </chartFormat>
    <chartFormat chart="56" format="1" series="1">
      <pivotArea type="data" outline="0" fieldPosition="0">
        <references count="2">
          <reference field="4294967294" count="1" selected="0">
            <x v="0"/>
          </reference>
          <reference field="1" count="1" selected="0">
            <x v="1"/>
          </reference>
        </references>
      </pivotArea>
    </chartFormat>
    <chartFormat chart="56" format="2" series="1">
      <pivotArea type="data" outline="0" fieldPosition="0">
        <references count="2">
          <reference field="4294967294" count="1" selected="0">
            <x v="0"/>
          </reference>
          <reference field="1" count="1" selected="0">
            <x v="2"/>
          </reference>
        </references>
      </pivotArea>
    </chartFormat>
    <chartFormat chart="56" format="3" series="1">
      <pivotArea type="data" outline="0" fieldPosition="0">
        <references count="2">
          <reference field="4294967294" count="1" selected="0">
            <x v="0"/>
          </reference>
          <reference field="1" count="1" selected="0">
            <x v="3"/>
          </reference>
        </references>
      </pivotArea>
    </chartFormat>
    <chartFormat chart="56" format="4" series="1">
      <pivotArea type="data" outline="0" fieldPosition="0">
        <references count="2">
          <reference field="4294967294" count="1" selected="0">
            <x v="0"/>
          </reference>
          <reference field="1" count="1" selected="0">
            <x v="4"/>
          </reference>
        </references>
      </pivotArea>
    </chartFormat>
    <chartFormat chart="60" format="10" series="1">
      <pivotArea type="data" outline="0" fieldPosition="0">
        <references count="2">
          <reference field="4294967294" count="1" selected="0">
            <x v="0"/>
          </reference>
          <reference field="1" count="1" selected="0">
            <x v="0"/>
          </reference>
        </references>
      </pivotArea>
    </chartFormat>
    <chartFormat chart="60" format="11" series="1">
      <pivotArea type="data" outline="0" fieldPosition="0">
        <references count="2">
          <reference field="4294967294" count="1" selected="0">
            <x v="0"/>
          </reference>
          <reference field="1" count="1" selected="0">
            <x v="1"/>
          </reference>
        </references>
      </pivotArea>
    </chartFormat>
    <chartFormat chart="60" format="12" series="1">
      <pivotArea type="data" outline="0" fieldPosition="0">
        <references count="2">
          <reference field="4294967294" count="1" selected="0">
            <x v="0"/>
          </reference>
          <reference field="1" count="1" selected="0">
            <x v="2"/>
          </reference>
        </references>
      </pivotArea>
    </chartFormat>
    <chartFormat chart="60" format="13" series="1">
      <pivotArea type="data" outline="0" fieldPosition="0">
        <references count="2">
          <reference field="4294967294" count="1" selected="0">
            <x v="0"/>
          </reference>
          <reference field="1" count="1" selected="0">
            <x v="3"/>
          </reference>
        </references>
      </pivotArea>
    </chartFormat>
    <chartFormat chart="60" format="14" series="1">
      <pivotArea type="data" outline="0" fieldPosition="0">
        <references count="2">
          <reference field="4294967294" count="1" selected="0">
            <x v="0"/>
          </reference>
          <reference field="1" count="1" selected="0">
            <x v="4"/>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erage of Delivery Duration (Days)"/>
    <pivotHierarchy dragToData="1" caption="Total Cost"/>
    <pivotHierarchy dragToData="1" caption="Cost Savings"/>
    <pivotHierarchy dragToData="1" caption="Avg Order Cost"/>
    <pivotHierarchy dragToData="1" caption="Percentage"/>
    <pivotHierarchy dragToData="1"/>
    <pivotHierarchy dragToData="1"/>
    <pivotHierarchy dragToData="1"/>
    <pivotHierarchy dragToData="1"/>
    <pivotHierarchy dragToData="1" caption="Negotiability"/>
    <pivotHierarchy dragToData="1" caption="Average of Negotiation Difference %"/>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5AF108-3B39-4CDC-BEBC-548663A5117E}" name="PivotTable6" cacheId="15" applyNumberFormats="0" applyBorderFormats="0" applyFontFormats="0" applyPatternFormats="0" applyAlignmentFormats="0" applyWidthHeightFormats="1" dataCaption="Values" tag="cdf026d7-e1a7-43cf-9ee4-8383bd51480a" updatedVersion="8" minRefreshableVersion="3" subtotalHiddenItems="1" itemPrintTitles="1" createdVersion="8" indent="0" multipleFieldFilters="0">
  <location ref="D2:D3" firstHeaderRow="1" firstDataRow="1" firstDataCol="0"/>
  <pivotFields count="2">
    <pivotField dataField="1" showAll="0"/>
    <pivotField allDrilled="1" showAll="0" dataSourceSort="1" defaultAttributeDrillState="1"/>
  </pivotFields>
  <rowItems count="1">
    <i/>
  </rowItems>
  <colItems count="1">
    <i/>
  </colItems>
  <dataFields count="1">
    <dataField name="Item Categories" fld="0" subtotal="count" baseField="0" baseItem="0">
      <extLst>
        <ext xmlns:x15="http://schemas.microsoft.com/office/spreadsheetml/2010/11/main" uri="{FABC7310-3BB5-11E1-824E-6D434824019B}">
          <x15:dataField isCountDistinct="1"/>
        </ext>
      </extLst>
    </dataField>
  </dataField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FFA3B-69D7-4D08-805B-0281868366A0}" name="PivotTable16" cacheId="7" applyNumberFormats="0" applyBorderFormats="0" applyFontFormats="0" applyPatternFormats="0" applyAlignmentFormats="0" applyWidthHeightFormats="1" dataCaption="Values" tag="0a5b9669-c9cb-4d71-b5c1-b756f17f8296" updatedVersion="8" minRefreshableVersion="3" subtotalHiddenItems="1" itemPrintTitles="1" createdVersion="8" indent="0" multipleFieldFilters="0" chartFormat="50" rowHeaderCaption="Supplier">
  <location ref="E64:F70"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i>
    <i>
      <x v="1"/>
    </i>
    <i>
      <x v="3"/>
    </i>
    <i>
      <x v="4"/>
    </i>
    <i>
      <x v="2"/>
    </i>
    <i t="grand">
      <x/>
    </i>
  </rowItems>
  <colItems count="1">
    <i/>
  </colItems>
  <dataFields count="1">
    <dataField name="Average of Negotiation Difference %" fld="1" subtotal="average" baseField="0" baseItem="0" numFmtId="10"/>
  </dataFields>
  <formats count="3">
    <format dxfId="9">
      <pivotArea type="all" dataOnly="0" outline="0" fieldPosition="0"/>
    </format>
    <format dxfId="8">
      <pivotArea dataOnly="0" labelOnly="1" outline="0" axis="axisValues" fieldPosition="0"/>
    </format>
    <format dxfId="7">
      <pivotArea outline="0" collapsedLevelsAreSubtotals="1" fieldPosition="0"/>
    </format>
  </formats>
  <chartFormats count="3">
    <chartFormat chart="45"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erage of Delivery Duration (Days)"/>
    <pivotHierarchy dragToData="1" caption="Total Cost"/>
    <pivotHierarchy dragToData="1" caption="Cost Savings"/>
    <pivotHierarchy dragToData="1" caption="Avg Order Cost"/>
    <pivotHierarchy dragToData="1" caption="Percentage"/>
    <pivotHierarchy dragToData="1"/>
    <pivotHierarchy dragToData="1"/>
    <pivotHierarchy dragToData="1"/>
    <pivotHierarchy dragToData="1"/>
    <pivotHierarchy dragToData="1" caption="Negotiability"/>
    <pivotHierarchy dragToData="1" caption="Average of Negotiation Difference %"/>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9DAE7-23A7-4DFF-8F0E-8BA7705D7BA7}" name="PivotTable12" cacheId="3" applyNumberFormats="0" applyBorderFormats="0" applyFontFormats="0" applyPatternFormats="0" applyAlignmentFormats="0" applyWidthHeightFormats="1" dataCaption="Values" tag="de6d1a04-427a-424a-8e9f-b8cf1533f7cc" updatedVersion="8" minRefreshableVersion="3" subtotalHiddenItems="1" itemPrintTitles="1" createdVersion="8" indent="0" multipleFieldFilters="0" chartFormat="24">
  <location ref="H2:H3" firstHeaderRow="1" firstDataRow="1" firstDataCol="0"/>
  <pivotFields count="2">
    <pivotField dataField="1" showAll="0"/>
    <pivotField allDrilled="1" showAll="0" dataSourceSort="1" defaultAttributeDrillState="1"/>
  </pivotFields>
  <rowItems count="1">
    <i/>
  </rowItems>
  <colItems count="1">
    <i/>
  </colItems>
  <dataFields count="1">
    <dataField name="Avg Order Cost" fld="0" subtotal="average" baseField="0" baseItem="0"/>
  </dataFields>
  <formats count="3">
    <format dxfId="12">
      <pivotArea type="all" dataOnly="0" outline="0" fieldPosition="0"/>
    </format>
    <format dxfId="11">
      <pivotArea dataOnly="0" labelOnly="1" outline="0" axis="axisValues" fieldPosition="0"/>
    </format>
    <format dxfId="10">
      <pivotArea outline="0" collapsedLevelsAreSubtotals="1" fieldPosition="0"/>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caption="Cost Savings"/>
    <pivotHierarchy dragToData="1" caption="Avg Order Cos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829641-FEC9-4AA5-9270-99D6C9B541AB}" name="PivotTable1" cacheId="0" applyNumberFormats="0" applyBorderFormats="0" applyFontFormats="0" applyPatternFormats="0" applyAlignmentFormats="0" applyWidthHeightFormats="1" dataCaption="Values" tag="86d3cbe3-feec-48cc-bf2d-765d5829436e" updatedVersion="8" minRefreshableVersion="5" subtotalHiddenItems="1" itemPrintTitles="1" createdVersion="8" indent="0" multipleFieldFilters="0" chartFormat="75" rowHeaderCaption="Category">
  <location ref="R18:T24" firstHeaderRow="0" firstDataRow="1" firstDataCol="1"/>
  <pivotFields count="5">
    <pivotField dataField="1" showAll="0"/>
    <pivotField dataField="1" showAll="0"/>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allDrilled="1" showAll="0" dataSourceSort="1" defaultAttributeDrillState="1">
      <items count="1">
        <item t="default"/>
      </items>
    </pivotField>
    <pivotField allDrilled="1" showAll="0" dataSourceSort="1" defaultAttributeDrillState="1"/>
  </pivotFields>
  <rowFields count="1">
    <field x="2"/>
  </rowFields>
  <rowItems count="6">
    <i>
      <x v="1"/>
    </i>
    <i>
      <x v="2"/>
    </i>
    <i>
      <x/>
    </i>
    <i>
      <x v="3"/>
    </i>
    <i>
      <x v="4"/>
    </i>
    <i t="grand">
      <x/>
    </i>
  </rowItems>
  <colFields count="1">
    <field x="-2"/>
  </colFields>
  <colItems count="2">
    <i>
      <x/>
    </i>
    <i i="1">
      <x v="1"/>
    </i>
  </colItems>
  <dataFields count="2">
    <dataField name="Cost" fld="0" baseField="0" baseItem="0" numFmtId="164"/>
    <dataField name="Quantity" fld="1" baseField="0" baseItem="0" numFmtId="165"/>
  </dataFields>
  <formats count="4">
    <format dxfId="16">
      <pivotArea type="all" dataOnly="0" outline="0" fieldPosition="0"/>
    </format>
    <format dxfId="15">
      <pivotArea dataOnly="0" labelOnly="1" outline="0" axis="axisValues" fieldPosition="0"/>
    </format>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23">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1"/>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8" format="2"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1"/>
          </reference>
        </references>
      </pivotArea>
    </chartFormat>
    <chartFormat chart="66" format="0" series="1">
      <pivotArea type="data" outline="0" fieldPosition="0">
        <references count="1">
          <reference field="4294967294" count="1" selected="0">
            <x v="0"/>
          </reference>
        </references>
      </pivotArea>
    </chartFormat>
    <chartFormat chart="66" format="1" series="1">
      <pivotArea type="data" outline="0" fieldPosition="0">
        <references count="1">
          <reference field="4294967294" count="1" selected="0">
            <x v="1"/>
          </reference>
        </references>
      </pivotArea>
    </chartFormat>
    <chartFormat chart="70" format="4" series="1">
      <pivotArea type="data" outline="0" fieldPosition="0">
        <references count="1">
          <reference field="4294967294" count="1" selected="0">
            <x v="0"/>
          </reference>
        </references>
      </pivotArea>
    </chartFormat>
    <chartFormat chart="70" format="5" series="1">
      <pivotArea type="data" outline="0" fieldPosition="0">
        <references count="1">
          <reference field="4294967294" count="1" selected="0">
            <x v="1"/>
          </reference>
        </references>
      </pivotArea>
    </chartFormat>
    <chartFormat chart="70" format="6">
      <pivotArea type="data" outline="0" fieldPosition="0">
        <references count="2">
          <reference field="4294967294" count="1" selected="0">
            <x v="1"/>
          </reference>
          <reference field="2" count="1" selected="0">
            <x v="4"/>
          </reference>
        </references>
      </pivotArea>
    </chartFormat>
    <chartFormat chart="70" format="7">
      <pivotArea type="data" outline="0" fieldPosition="0">
        <references count="2">
          <reference field="4294967294" count="1" selected="0">
            <x v="1"/>
          </reference>
          <reference field="2" count="1" selected="0">
            <x v="3"/>
          </reference>
        </references>
      </pivotArea>
    </chartFormat>
    <chartFormat chart="70" format="8">
      <pivotArea type="data" outline="0" fieldPosition="0">
        <references count="2">
          <reference field="4294967294" count="1" selected="0">
            <x v="1"/>
          </reference>
          <reference field="2" count="1" selected="0">
            <x v="2"/>
          </reference>
        </references>
      </pivotArea>
    </chartFormat>
    <chartFormat chart="70" format="9">
      <pivotArea type="data" outline="0" fieldPosition="0">
        <references count="2">
          <reference field="4294967294" count="1" selected="0">
            <x v="1"/>
          </reference>
          <reference field="2" count="1" selected="0">
            <x v="1"/>
          </reference>
        </references>
      </pivotArea>
    </chartFormat>
    <chartFormat chart="70" format="10">
      <pivotArea type="data" outline="0" fieldPosition="0">
        <references count="2">
          <reference field="4294967294" count="1" selected="0">
            <x v="1"/>
          </reference>
          <reference field="2" count="1" selected="0">
            <x v="0"/>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Cost"/>
    <pivotHierarchy dragToData="1" caption="Cost Savings"/>
    <pivotHierarchy dragToData="1" caption="Avg Order Cost"/>
    <pivotHierarchy dragToData="1" caption="Percentage"/>
    <pivotHierarchy dragToData="1" caption="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Procurement_KPI_Analysis_Dataset].[Order_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7EC334-FF93-44E9-9E25-AD9A60692579}" name="PivotTable2" cacheId="11" applyNumberFormats="0" applyBorderFormats="0" applyFontFormats="0" applyPatternFormats="0" applyAlignmentFormats="0" applyWidthHeightFormats="1" dataCaption="Values" tag="86d3cbe3-feec-48cc-bf2d-765d5829436e" updatedVersion="8" minRefreshableVersion="3" subtotalHiddenItems="1" itemPrintTitles="1" createdVersion="8" indent="0" multipleFieldFilters="0" chartFormat="97" rowHeaderCaption="Category">
  <location ref="Z18:AD20" firstHeaderRow="1" firstDataRow="2" firstDataCol="1"/>
  <pivotFields count="2">
    <pivotField dataField="1" showAll="0"/>
    <pivotField axis="axisCol" allDrilled="1" showAll="0" dataSourceSort="1" defaultAttributeDrillState="1">
      <items count="4">
        <item x="0"/>
        <item x="1"/>
        <item x="2"/>
        <item t="default"/>
      </items>
    </pivotField>
  </pivotFields>
  <rowItems count="1">
    <i/>
  </rowItems>
  <colFields count="1">
    <field x="1"/>
  </colFields>
  <colItems count="4">
    <i>
      <x/>
    </i>
    <i>
      <x v="1"/>
    </i>
    <i>
      <x v="2"/>
    </i>
    <i t="grand">
      <x/>
    </i>
  </colItems>
  <dataFields count="1">
    <dataField name="Cost" fld="0" showDataAs="percentOfTotal" baseField="0" baseItem="0" numFmtId="10"/>
  </dataFields>
  <formats count="4">
    <format dxfId="20">
      <pivotArea type="all" dataOnly="0" outline="0" fieldPosition="0"/>
    </format>
    <format dxfId="19">
      <pivotArea dataOnly="0" labelOnly="1" outline="0" axis="axisValues" fieldPosition="0"/>
    </format>
    <format dxfId="18">
      <pivotArea outline="0" collapsedLevelsAreSubtotals="1" fieldPosition="0">
        <references count="1">
          <reference field="4294967294" count="1" selected="0">
            <x v="0"/>
          </reference>
        </references>
      </pivotArea>
    </format>
    <format dxfId="17">
      <pivotArea outline="0" fieldPosition="0">
        <references count="1">
          <reference field="4294967294" count="1">
            <x v="0"/>
          </reference>
        </references>
      </pivotArea>
    </format>
  </formats>
  <chartFormats count="15">
    <chartFormat chart="33"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9" format="4"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70" format="4" series="1">
      <pivotArea type="data" outline="0" fieldPosition="0">
        <references count="1">
          <reference field="4294967294" count="1" selected="0">
            <x v="0"/>
          </reference>
        </references>
      </pivotArea>
    </chartFormat>
    <chartFormat chart="94" format="6" series="1">
      <pivotArea type="data" outline="0" fieldPosition="0">
        <references count="2">
          <reference field="4294967294" count="1" selected="0">
            <x v="0"/>
          </reference>
          <reference field="1" count="1" selected="0">
            <x v="0"/>
          </reference>
        </references>
      </pivotArea>
    </chartFormat>
    <chartFormat chart="94" format="7" series="1">
      <pivotArea type="data" outline="0" fieldPosition="0">
        <references count="2">
          <reference field="4294967294" count="1" selected="0">
            <x v="0"/>
          </reference>
          <reference field="1" count="1" selected="0">
            <x v="1"/>
          </reference>
        </references>
      </pivotArea>
    </chartFormat>
    <chartFormat chart="94" format="8" series="1">
      <pivotArea type="data" outline="0" fieldPosition="0">
        <references count="2">
          <reference field="4294967294" count="1" selected="0">
            <x v="0"/>
          </reference>
          <reference field="1" count="1" selected="0">
            <x v="2"/>
          </reference>
        </references>
      </pivotArea>
    </chartFormat>
    <chartFormat chart="96" format="12" series="1">
      <pivotArea type="data" outline="0" fieldPosition="0">
        <references count="2">
          <reference field="4294967294" count="1" selected="0">
            <x v="0"/>
          </reference>
          <reference field="1" count="1" selected="0">
            <x v="0"/>
          </reference>
        </references>
      </pivotArea>
    </chartFormat>
    <chartFormat chart="96" format="13" series="1">
      <pivotArea type="data" outline="0" fieldPosition="0">
        <references count="2">
          <reference field="4294967294" count="1" selected="0">
            <x v="0"/>
          </reference>
          <reference field="1" count="1" selected="0">
            <x v="1"/>
          </reference>
        </references>
      </pivotArea>
    </chartFormat>
    <chartFormat chart="96" format="14" series="1">
      <pivotArea type="data" outline="0" fieldPosition="0">
        <references count="2">
          <reference field="4294967294" count="1" selected="0">
            <x v="0"/>
          </reference>
          <reference field="1" count="1" selected="0">
            <x v="2"/>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Cost"/>
    <pivotHierarchy dragToData="1" caption="Cost Savings"/>
    <pivotHierarchy dragToData="1" caption="Avg Order Cost"/>
    <pivotHierarchy dragToData="1" caption="Percentage"/>
    <pivotHierarchy dragToData="1" caption="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21B402-D42A-4CBA-AFF5-6FF6BB61FA5D}" name="PivotTable14" cacheId="5" applyNumberFormats="0" applyBorderFormats="0" applyFontFormats="0" applyPatternFormats="0" applyAlignmentFormats="0" applyWidthHeightFormats="1" dataCaption="Values" tag="f0a969de-a508-4823-b606-a79d57ce9b70" updatedVersion="8" minRefreshableVersion="3" subtotalHiddenItems="1" itemPrintTitles="1" createdVersion="8" indent="0" multipleFieldFilters="0" chartFormat="38" rowHeaderCaption="Month">
  <location ref="F18:K32" firstHeaderRow="1" firstDataRow="2" firstDataCol="1"/>
  <pivotFields count="4">
    <pivotField axis="axisCol" allDrilled="1" showAll="0" dataSourceSort="1" defaultAttributeDrillState="1">
      <items count="5">
        <item x="0"/>
        <item x="1"/>
        <item x="2"/>
        <item x="3"/>
        <item t="default"/>
      </items>
    </pivotField>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2"/>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Order Status by Month" fld="1" subtotal="count" baseField="0" baseItem="0"/>
  </dataFields>
  <formats count="2">
    <format dxfId="22">
      <pivotArea type="all" dataOnly="0" outline="0" fieldPosition="0"/>
    </format>
    <format dxfId="21">
      <pivotArea dataOnly="0" labelOnly="1" outline="0" axis="axisValues" fieldPosition="0"/>
    </format>
  </formats>
  <chartFormats count="4">
    <chartFormat chart="33" format="0" series="1">
      <pivotArea type="data" outline="0" fieldPosition="0">
        <references count="2">
          <reference field="4294967294" count="1" selected="0">
            <x v="0"/>
          </reference>
          <reference field="0" count="1" selected="0">
            <x v="0"/>
          </reference>
        </references>
      </pivotArea>
    </chartFormat>
    <chartFormat chart="33" format="1" series="1">
      <pivotArea type="data" outline="0" fieldPosition="0">
        <references count="2">
          <reference field="4294967294" count="1" selected="0">
            <x v="0"/>
          </reference>
          <reference field="0" count="1" selected="0">
            <x v="1"/>
          </reference>
        </references>
      </pivotArea>
    </chartFormat>
    <chartFormat chart="33" format="2" series="1">
      <pivotArea type="data" outline="0" fieldPosition="0">
        <references count="2">
          <reference field="4294967294" count="1" selected="0">
            <x v="0"/>
          </reference>
          <reference field="0" count="1" selected="0">
            <x v="2"/>
          </reference>
        </references>
      </pivotArea>
    </chartFormat>
    <chartFormat chart="33" format="3" series="1">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caption="Cost Savings"/>
    <pivotHierarchy dragToData="1" caption="Avg Order Cost"/>
    <pivotHierarchy dragToData="1" caption="Percent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449374-FE48-4DFD-8AB2-C6D9960B3330}" name="PivotTable10" cacheId="1" applyNumberFormats="0" applyBorderFormats="0" applyFontFormats="0" applyPatternFormats="0" applyAlignmentFormats="0" applyWidthHeightFormats="1" dataCaption="Values" tag="de6d1a04-427a-424a-8e9f-b8cf1533f7cc" updatedVersion="8" minRefreshableVersion="3" subtotalHiddenItems="1" itemPrintTitles="1" createdVersion="8" indent="0" multipleFieldFilters="0" chartFormat="24">
  <location ref="J2:J3" firstHeaderRow="1" firstDataRow="1" firstDataCol="0"/>
  <pivotFields count="2">
    <pivotField dataField="1" showAll="0"/>
    <pivotField allDrilled="1" showAll="0" dataSourceSort="1" defaultAttributeDrillState="1"/>
  </pivotFields>
  <rowItems count="1">
    <i/>
  </rowItems>
  <colItems count="1">
    <i/>
  </colItems>
  <dataFields count="1">
    <dataField name="Defect Rate" fld="0" subtotal="average" baseField="0" baseItem="0" numFmtId="43"/>
  </dataFields>
  <formats count="3">
    <format dxfId="25">
      <pivotArea type="all" dataOnly="0" outline="0" fieldPosition="0"/>
    </format>
    <format dxfId="24">
      <pivotArea dataOnly="0" labelOnly="1" outline="0" axis="axisValues" fieldPosition="0"/>
    </format>
    <format dxfId="23">
      <pivotArea outline="0" collapsedLevelsAreSubtotals="1" fieldPosition="0"/>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caption="Cost Savings"/>
    <pivotHierarchy dragToData="1" caption="Avg Order Cost"/>
    <pivotHierarchy dragToData="1"/>
    <pivotHierarchy dragToData="1"/>
    <pivotHierarchy dragToData="1" caption="Defective Units"/>
    <pivotHierarchy dragToData="1"/>
    <pivotHierarchy dragToData="1" caption="Defect Rat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16517C-B27E-4742-AF9F-06EE8116C2E3}" name="PivotTable11" cacheId="2" applyNumberFormats="0" applyBorderFormats="0" applyFontFormats="0" applyPatternFormats="0" applyAlignmentFormats="0" applyWidthHeightFormats="1" dataCaption="Values" tag="3be7ef44-65f1-4820-bf8f-aaa3999abc17" updatedVersion="8" minRefreshableVersion="3" subtotalHiddenItems="1" itemPrintTitles="1" createdVersion="8" indent="0" multipleFieldFilters="0">
  <location ref="G2:G3" firstHeaderRow="1" firstDataRow="1" firstDataCol="0"/>
  <pivotFields count="2">
    <pivotField dataField="1" showAll="0"/>
    <pivotField allDrilled="1" showAll="0" dataSourceSort="1" defaultAttributeDrillState="1"/>
  </pivotFields>
  <rowItems count="1">
    <i/>
  </rowItems>
  <colItems count="1">
    <i/>
  </colItems>
  <dataFields count="1">
    <dataField name="Cost Savings" fld="0" baseField="0" baseItem="0"/>
  </dataFields>
  <formats count="3">
    <format dxfId="28">
      <pivotArea type="all" dataOnly="0" outline="0" fieldPosition="0"/>
    </format>
    <format dxfId="27">
      <pivotArea dataOnly="0" labelOnly="1" outline="0" axis="axisValues" fieldPosition="0"/>
    </format>
    <format dxfId="26">
      <pivotArea outline="0" collapsedLevelsAreSubtotals="1" fieldPosition="0"/>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caption="Cost Saving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BE107-DE14-4732-82F3-CB4C35338E29}" name="PivotTable4" cacheId="13" applyNumberFormats="0" applyBorderFormats="0" applyFontFormats="0" applyPatternFormats="0" applyAlignmentFormats="0" applyWidthHeightFormats="1" dataCaption="Values" tag="3fb03d46-2942-4c11-b46b-b7e3421cb3db" updatedVersion="8" minRefreshableVersion="3" subtotalHiddenItems="1" itemPrintTitles="1" createdVersion="8" indent="0" multipleFieldFilters="0" chartFormat="3">
  <location ref="B2:B3" firstHeaderRow="1" firstDataRow="1" firstDataCol="0"/>
  <pivotFields count="2">
    <pivotField dataField="1" showAll="0"/>
    <pivotField allDrilled="1" showAll="0" dataSourceSort="1" defaultAttributeDrillState="1"/>
  </pivotFields>
  <rowItems count="1">
    <i/>
  </rowItems>
  <colItems count="1">
    <i/>
  </colItems>
  <dataFields count="1">
    <dataField name="Procurements" fld="0" subtotal="count" baseField="0" baseItem="0">
      <extLst>
        <ext xmlns:x15="http://schemas.microsoft.com/office/spreadsheetml/2010/11/main" uri="{FABC7310-3BB5-11E1-824E-6D434824019B}">
          <x15:dataField isCountDistinct="1"/>
        </ext>
      </extLst>
    </dataField>
  </dataField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rocurem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DCAD95-7CF1-45A8-8BC7-AB65A8335B1D}" name="PivotTable8" cacheId="17" applyNumberFormats="0" applyBorderFormats="0" applyFontFormats="0" applyPatternFormats="0" applyAlignmentFormats="0" applyWidthHeightFormats="1" dataCaption="Values" tag="5ca62d5f-6807-4714-966b-4a4dc4406eb8" updatedVersion="8" minRefreshableVersion="3" subtotalHiddenItems="1" itemPrintTitles="1" createdVersion="8" indent="0" multipleFieldFilters="0">
  <location ref="F2:F3" firstHeaderRow="1" firstDataRow="1" firstDataCol="0"/>
  <pivotFields count="2">
    <pivotField dataField="1" showAll="0"/>
    <pivotField allDrilled="1" showAll="0" dataSourceSort="1" defaultAttributeDrillState="1"/>
  </pivotFields>
  <rowItems count="1">
    <i/>
  </rowItems>
  <colItems count="1">
    <i/>
  </colItems>
  <dataFields count="1">
    <dataField name="Total Cost" fld="0" baseField="0" baseItem="0" numFmtId="164"/>
  </dataFields>
  <formats count="3">
    <format dxfId="31">
      <pivotArea type="all" dataOnly="0" outline="0" fieldPosition="0"/>
    </format>
    <format dxfId="30">
      <pivotArea dataOnly="0" labelOnly="1" outline="0" axis="axisValues" fieldPosition="0"/>
    </format>
    <format dxfId="29">
      <pivotArea outline="0" collapsedLevelsAreSubtotals="1" fieldPosition="0"/>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B05667-2B4A-44C1-9668-D3D5CC685FA9}" name="PivotTable19" cacheId="10" applyNumberFormats="0" applyBorderFormats="0" applyFontFormats="0" applyPatternFormats="0" applyAlignmentFormats="0" applyWidthHeightFormats="1" dataCaption="Values" tag="0a5b9669-c9cb-4d71-b5c1-b756f17f8296" updatedVersion="8" minRefreshableVersion="3" subtotalHiddenItems="1" itemPrintTitles="1" createdVersion="8" indent="0" multipleFieldFilters="0" chartFormat="61" rowHeaderCaption="Supplier">
  <location ref="V64:W70" firstHeaderRow="1" firstDataRow="1" firstDataCol="1"/>
  <pivotFields count="3">
    <pivotField axis="axisRow" allDrilled="1" showAll="0" defaultAttributeDrillState="1">
      <items count="6">
        <item x="2"/>
        <item x="0"/>
        <item x="1"/>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Cost Savings" fld="1" showDataAs="percentOfTotal" baseField="0" baseItem="0" numFmtId="10"/>
  </dataFields>
  <formats count="4">
    <format dxfId="35">
      <pivotArea type="all" dataOnly="0" outline="0" fieldPosition="0"/>
    </format>
    <format dxfId="34">
      <pivotArea dataOnly="0" labelOnly="1" outline="0" axis="axisValues" fieldPosition="0"/>
    </format>
    <format dxfId="33">
      <pivotArea outline="0" collapsedLevelsAreSubtotals="1" fieldPosition="0"/>
    </format>
    <format dxfId="32">
      <pivotArea outline="0" fieldPosition="0">
        <references count="1">
          <reference field="4294967294" count="1">
            <x v="0"/>
          </reference>
        </references>
      </pivotArea>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erage of Delivery Duration (Days)"/>
    <pivotHierarchy dragToData="1" caption="Total Cost"/>
    <pivotHierarchy dragToData="1" caption="Cost Savings"/>
    <pivotHierarchy dragToData="1" caption="Avg Order Cost"/>
    <pivotHierarchy dragToData="1" caption="Percentage"/>
    <pivotHierarchy dragToData="1"/>
    <pivotHierarchy dragToData="1"/>
    <pivotHierarchy dragToData="1"/>
    <pivotHierarchy dragToData="1"/>
    <pivotHierarchy dragToData="1" caption="Negotiability"/>
    <pivotHierarchy dragToData="1" caption="Average of Negotiation Difference %"/>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795260-E16A-4080-9AAD-F1D395351361}" name="PivotTable9" cacheId="18" applyNumberFormats="0" applyBorderFormats="0" applyFontFormats="0" applyPatternFormats="0" applyAlignmentFormats="0" applyWidthHeightFormats="1" dataCaption="Values" tag="de6d1a04-427a-424a-8e9f-b8cf1533f7cc" updatedVersion="8" minRefreshableVersion="3" subtotalHiddenItems="1" itemPrintTitles="1" createdVersion="8" indent="0" multipleFieldFilters="0" chartFormat="24">
  <location ref="I2:I3" firstHeaderRow="1" firstDataRow="1" firstDataCol="0"/>
  <pivotFields count="2">
    <pivotField dataField="1" showAll="0"/>
    <pivotField allDrilled="1" showAll="0" dataSourceSort="1" defaultAttributeDrillState="1"/>
  </pivotFields>
  <rowItems count="1">
    <i/>
  </rowItems>
  <colItems count="1">
    <i/>
  </colItems>
  <dataFields count="1">
    <dataField name="Defective Units" fld="0" baseField="0" baseItem="0" numFmtId="165"/>
  </dataFields>
  <formats count="3">
    <format dxfId="38">
      <pivotArea type="all" dataOnly="0" outline="0" fieldPosition="0"/>
    </format>
    <format dxfId="37">
      <pivotArea dataOnly="0" labelOnly="1" outline="0" axis="axisValues" fieldPosition="0"/>
    </format>
    <format dxfId="36">
      <pivotArea outline="0" collapsedLevelsAreSubtotals="1" fieldPosition="0"/>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caption="Cost Savings"/>
    <pivotHierarchy dragToData="1" caption="Avg Order Cost"/>
    <pivotHierarchy dragToData="1"/>
    <pivotHierarchy dragToData="1"/>
    <pivotHierarchy dragToData="1" caption="Defective Unit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15A354-F1E0-4522-800F-187BEE5E8C4A}" name="PivotTable5" cacheId="14" applyNumberFormats="0" applyBorderFormats="0" applyFontFormats="0" applyPatternFormats="0" applyAlignmentFormats="0" applyWidthHeightFormats="1" dataCaption="Values" tag="78e15faf-b5b1-4211-aacc-1b2f1769e4eb" updatedVersion="8" minRefreshableVersion="3" subtotalHiddenItems="1" itemPrintTitles="1" createdVersion="8" indent="0" multipleFieldFilters="0">
  <location ref="C2:C3" firstHeaderRow="1" firstDataRow="1" firstDataCol="0"/>
  <pivotFields count="2">
    <pivotField dataField="1" showAll="0"/>
    <pivotField allDrilled="1" showAll="0" dataSourceSort="1" defaultAttributeDrillState="1"/>
  </pivotFields>
  <rowItems count="1">
    <i/>
  </rowItems>
  <colItems count="1">
    <i/>
  </colItems>
  <dataFields count="1">
    <dataField name="Suppliers" fld="0" subtotal="count" baseField="0" baseItem="0">
      <extLst>
        <ext xmlns:x15="http://schemas.microsoft.com/office/spreadsheetml/2010/11/main" uri="{FABC7310-3BB5-11E1-824E-6D434824019B}">
          <x15:dataField isCountDistinct="1"/>
        </ext>
      </extLst>
    </dataField>
  </dataField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pivotHierarchy dragToData="1"/>
    <pivotHierarchy dragToData="1" caption="Total Procurem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34F106-0CB7-42B2-82DA-77B77AE098F7}" name="PivotTable7" cacheId="16" applyNumberFormats="0" applyBorderFormats="0" applyFontFormats="0" applyPatternFormats="0" applyAlignmentFormats="0" applyWidthHeightFormats="1" dataCaption="Values" tag="434ddc03-c55a-4ee0-bfd5-8f9d329ae550" updatedVersion="8" minRefreshableVersion="3" subtotalHiddenItems="1" itemPrintTitles="1" createdVersion="8" indent="0" multipleFieldFilters="0">
  <location ref="E2:E3" firstHeaderRow="1" firstDataRow="1" firstDataCol="0"/>
  <pivotFields count="2">
    <pivotField dataField="1" showAll="0"/>
    <pivotField allDrilled="1" showAll="0" dataSourceSort="1" defaultAttributeDrillState="1"/>
  </pivotFields>
  <rowItems count="1">
    <i/>
  </rowItems>
  <colItems count="1">
    <i/>
  </colItems>
  <dataFields count="1">
    <dataField name="Avg Delivery Duration (Days)" fld="0" subtotal="average" baseField="0" baseItem="0" numFmtId="1"/>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80932B6-FB31-4977-90C9-4669F134E520}" name="PivotTable13" cacheId="4" applyNumberFormats="0" applyBorderFormats="0" applyFontFormats="0" applyPatternFormats="0" applyAlignmentFormats="0" applyWidthHeightFormats="1" dataCaption="Values" tag="0a5b9669-c9cb-4d71-b5c1-b756f17f8296" updatedVersion="8" minRefreshableVersion="3" subtotalHiddenItems="1" itemPrintTitles="1" createdVersion="8" indent="0" multipleFieldFilters="0" chartFormat="32" rowHeaderCaption="Order Status">
  <location ref="B18:D23" firstHeaderRow="0" firstDataRow="1" firstDataCol="1"/>
  <pivotFields count="4">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
    <i>
      <x/>
    </i>
    <i>
      <x v="1"/>
    </i>
    <i>
      <x v="2"/>
    </i>
    <i>
      <x v="3"/>
    </i>
    <i t="grand">
      <x/>
    </i>
  </rowItems>
  <colFields count="1">
    <field x="-2"/>
  </colFields>
  <colItems count="2">
    <i>
      <x/>
    </i>
    <i i="1">
      <x v="1"/>
    </i>
  </colItems>
  <dataFields count="2">
    <dataField name="Count" fld="1" subtotal="count" baseField="0" baseItem="0" numFmtId="165"/>
    <dataField name="Percentage" fld="3" subtotal="count" showDataAs="percentOfTotal" baseField="0" baseItem="0" numFmtId="10">
      <extLst>
        <ext xmlns:x14="http://schemas.microsoft.com/office/spreadsheetml/2009/9/main" uri="{E15A36E0-9728-4e99-A89B-3F7291B0FE68}">
          <x14:dataField sourceField="1" uniqueName="[__Xl2].[Measures].[Count of Order_Status]"/>
        </ext>
      </extLst>
    </dataField>
  </dataFields>
  <formats count="3">
    <format dxfId="44">
      <pivotArea type="all" dataOnly="0" outline="0" fieldPosition="0"/>
    </format>
    <format dxfId="43">
      <pivotArea dataOnly="0" labelOnly="1" outline="0" axis="axisValues" fieldPosition="0"/>
    </format>
    <format dxfId="42">
      <pivotArea outline="0" fieldPosition="0">
        <references count="1">
          <reference field="4294967294" count="1">
            <x v="1"/>
          </reference>
        </references>
      </pivotArea>
    </format>
  </formats>
  <chartFormats count="20">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0" count="1" selected="0">
            <x v="0"/>
          </reference>
        </references>
      </pivotArea>
    </chartFormat>
    <chartFormat chart="31" format="14">
      <pivotArea type="data" outline="0" fieldPosition="0">
        <references count="2">
          <reference field="4294967294" count="1" selected="0">
            <x v="0"/>
          </reference>
          <reference field="0" count="1" selected="0">
            <x v="1"/>
          </reference>
        </references>
      </pivotArea>
    </chartFormat>
    <chartFormat chart="31" format="15">
      <pivotArea type="data" outline="0" fieldPosition="0">
        <references count="2">
          <reference field="4294967294" count="1" selected="0">
            <x v="0"/>
          </reference>
          <reference field="0" count="1" selected="0">
            <x v="2"/>
          </reference>
        </references>
      </pivotArea>
    </chartFormat>
    <chartFormat chart="31" format="16">
      <pivotArea type="data" outline="0" fieldPosition="0">
        <references count="2">
          <reference field="4294967294" count="1" selected="0">
            <x v="0"/>
          </reference>
          <reference field="0" count="1" selected="0">
            <x v="3"/>
          </reference>
        </references>
      </pivotArea>
    </chartFormat>
    <chartFormat chart="31" format="17" series="1">
      <pivotArea type="data" outline="0" fieldPosition="0">
        <references count="1">
          <reference field="4294967294" count="1" selected="0">
            <x v="1"/>
          </reference>
        </references>
      </pivotArea>
    </chartFormat>
    <chartFormat chart="31" format="18">
      <pivotArea type="data" outline="0" fieldPosition="0">
        <references count="2">
          <reference field="4294967294" count="1" selected="0">
            <x v="1"/>
          </reference>
          <reference field="0" count="1" selected="0">
            <x v="0"/>
          </reference>
        </references>
      </pivotArea>
    </chartFormat>
    <chartFormat chart="31" format="19">
      <pivotArea type="data" outline="0" fieldPosition="0">
        <references count="2">
          <reference field="4294967294" count="1" selected="0">
            <x v="1"/>
          </reference>
          <reference field="0" count="1" selected="0">
            <x v="1"/>
          </reference>
        </references>
      </pivotArea>
    </chartFormat>
    <chartFormat chart="31" format="20">
      <pivotArea type="data" outline="0" fieldPosition="0">
        <references count="2">
          <reference field="4294967294" count="1" selected="0">
            <x v="1"/>
          </reference>
          <reference field="0" count="1" selected="0">
            <x v="2"/>
          </reference>
        </references>
      </pivotArea>
    </chartFormat>
    <chartFormat chart="31" format="21">
      <pivotArea type="data" outline="0" fieldPosition="0">
        <references count="2">
          <reference field="4294967294" count="1" selected="0">
            <x v="1"/>
          </reference>
          <reference field="0" count="1" selected="0">
            <x v="3"/>
          </reference>
        </references>
      </pivotArea>
    </chartFormat>
    <chartFormat chart="27" format="2">
      <pivotArea type="data" outline="0" fieldPosition="0">
        <references count="2">
          <reference field="4294967294" count="1" selected="0">
            <x v="0"/>
          </reference>
          <reference field="0" count="1" selected="0">
            <x v="0"/>
          </reference>
        </references>
      </pivotArea>
    </chartFormat>
    <chartFormat chart="27" format="3">
      <pivotArea type="data" outline="0" fieldPosition="0">
        <references count="2">
          <reference field="4294967294" count="1" selected="0">
            <x v="0"/>
          </reference>
          <reference field="0" count="1" selected="0">
            <x v="1"/>
          </reference>
        </references>
      </pivotArea>
    </chartFormat>
    <chartFormat chart="27" format="4">
      <pivotArea type="data" outline="0" fieldPosition="0">
        <references count="2">
          <reference field="4294967294" count="1" selected="0">
            <x v="0"/>
          </reference>
          <reference field="0" count="1" selected="0">
            <x v="2"/>
          </reference>
        </references>
      </pivotArea>
    </chartFormat>
    <chartFormat chart="27" format="5">
      <pivotArea type="data" outline="0" fieldPosition="0">
        <references count="2">
          <reference field="4294967294" count="1" selected="0">
            <x v="0"/>
          </reference>
          <reference field="0" count="1" selected="0">
            <x v="3"/>
          </reference>
        </references>
      </pivotArea>
    </chartFormat>
    <chartFormat chart="27" format="6">
      <pivotArea type="data" outline="0" fieldPosition="0">
        <references count="2">
          <reference field="4294967294" count="1" selected="0">
            <x v="1"/>
          </reference>
          <reference field="0" count="1" selected="0">
            <x v="0"/>
          </reference>
        </references>
      </pivotArea>
    </chartFormat>
    <chartFormat chart="27" format="7">
      <pivotArea type="data" outline="0" fieldPosition="0">
        <references count="2">
          <reference field="4294967294" count="1" selected="0">
            <x v="1"/>
          </reference>
          <reference field="0" count="1" selected="0">
            <x v="1"/>
          </reference>
        </references>
      </pivotArea>
    </chartFormat>
    <chartFormat chart="27" format="8">
      <pivotArea type="data" outline="0" fieldPosition="0">
        <references count="2">
          <reference field="4294967294" count="1" selected="0">
            <x v="1"/>
          </reference>
          <reference field="0" count="1" selected="0">
            <x v="2"/>
          </reference>
        </references>
      </pivotArea>
    </chartFormat>
    <chartFormat chart="27" format="9">
      <pivotArea type="data" outline="0" fieldPosition="0">
        <references count="2">
          <reference field="4294967294" count="1" selected="0">
            <x v="1"/>
          </reference>
          <reference field="0" count="1" selected="0">
            <x v="3"/>
          </reference>
        </references>
      </pivotArea>
    </chartFormat>
  </chartFormats>
  <pivotHierarchies count="52">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Total Cost"/>
    <pivotHierarchy dragToData="1" caption="Cost Savings"/>
    <pivotHierarchy dragToData="1" caption="Avg Order Cost"/>
    <pivotHierarchy dragToData="1" caption="Percentag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2DDD356-CF07-4180-8CC0-4B94557FA111}" name="PivotTable17" cacheId="8" applyNumberFormats="0" applyBorderFormats="0" applyFontFormats="0" applyPatternFormats="0" applyAlignmentFormats="0" applyWidthHeightFormats="1" dataCaption="Values" tag="0a5b9669-c9cb-4d71-b5c1-b756f17f8296" updatedVersion="8" minRefreshableVersion="3" subtotalHiddenItems="1" rowGrandTotals="0" colGrandTotals="0" itemPrintTitles="1" createdVersion="8" indent="0" multipleFieldFilters="0" chartFormat="50" rowHeaderCaption="Supplier">
  <location ref="I64:L69" firstHeaderRow="0" firstDataRow="1" firstDataCol="1"/>
  <pivotFields count="5">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allDrilled="1" showAll="0" dataSourceSort="1" defaultAttributeDrillState="1"/>
  </pivotFields>
  <rowFields count="1">
    <field x="0"/>
  </rowFields>
  <rowItems count="5">
    <i>
      <x/>
    </i>
    <i>
      <x v="4"/>
    </i>
    <i>
      <x v="2"/>
    </i>
    <i>
      <x v="1"/>
    </i>
    <i>
      <x v="3"/>
    </i>
  </rowItems>
  <colFields count="1">
    <field x="-2"/>
  </colFields>
  <colItems count="3">
    <i>
      <x/>
    </i>
    <i i="1">
      <x v="1"/>
    </i>
    <i i="2">
      <x v="2"/>
    </i>
  </colItems>
  <dataFields count="3">
    <dataField name="Cost" fld="3" baseField="0" baseItem="0" numFmtId="167"/>
    <dataField name="Quantity" fld="1" baseField="0" baseItem="0" numFmtId="165"/>
    <dataField name="Defective Units" fld="2" baseField="0" baseItem="0" numFmtId="165"/>
  </dataFields>
  <formats count="64">
    <format dxfId="108">
      <pivotArea type="all" dataOnly="0" outline="0" fieldPosition="0"/>
    </format>
    <format dxfId="107">
      <pivotArea dataOnly="0" labelOnly="1" outline="0" axis="axisValues" fieldPosition="0"/>
    </format>
    <format dxfId="106">
      <pivotArea outline="0" collapsedLevelsAreSubtotals="1" fieldPosition="0"/>
    </format>
    <format dxfId="105">
      <pivotArea outline="0" collapsedLevelsAreSubtotals="1" fieldPosition="0">
        <references count="1">
          <reference field="4294967294" count="1" selected="0">
            <x v="0"/>
          </reference>
        </references>
      </pivotArea>
    </format>
    <format dxfId="104">
      <pivotArea outline="0" collapsedLevelsAreSubtotals="1" fieldPosition="0">
        <references count="1">
          <reference field="4294967294" count="1" selected="0">
            <x v="1"/>
          </reference>
        </references>
      </pivotArea>
    </format>
    <format dxfId="103">
      <pivotArea outline="0" collapsedLevelsAreSubtotals="1" fieldPosition="0">
        <references count="1">
          <reference field="4294967294" count="1" selected="0">
            <x v="2"/>
          </reference>
        </references>
      </pivotArea>
    </format>
    <format dxfId="102">
      <pivotArea type="all" dataOnly="0" outline="0" fieldPosition="0"/>
    </format>
    <format dxfId="101">
      <pivotArea dataOnly="0" labelOnly="1" fieldPosition="0">
        <references count="1">
          <reference field="0" count="0"/>
        </references>
      </pivotArea>
    </format>
    <format dxfId="100">
      <pivotArea collapsedLevelsAreSubtotals="1" fieldPosition="0">
        <references count="1">
          <reference field="0" count="0"/>
        </references>
      </pivotArea>
    </format>
    <format dxfId="99">
      <pivotArea dataOnly="0" labelOnly="1" fieldPosition="0">
        <references count="1">
          <reference field="0" count="0"/>
        </references>
      </pivotArea>
    </format>
    <format dxfId="98">
      <pivotArea dataOnly="0" labelOnly="1" fieldPosition="0">
        <references count="1">
          <reference field="0" count="0"/>
        </references>
      </pivotArea>
    </format>
    <format dxfId="97">
      <pivotArea type="all" dataOnly="0" outline="0" fieldPosition="0"/>
    </format>
    <format dxfId="96">
      <pivotArea outline="0" collapsedLevelsAreSubtotals="1" fieldPosition="0"/>
    </format>
    <format dxfId="95">
      <pivotArea dataOnly="0" labelOnly="1" fieldPosition="0">
        <references count="1">
          <reference field="0" count="0"/>
        </references>
      </pivotArea>
    </format>
    <format dxfId="94">
      <pivotArea dataOnly="0" labelOnly="1" grandRow="1" outline="0" fieldPosition="0"/>
    </format>
    <format dxfId="93">
      <pivotArea type="all" dataOnly="0" outline="0" fieldPosition="0"/>
    </format>
    <format dxfId="92">
      <pivotArea outline="0" collapsedLevelsAreSubtotals="1" fieldPosition="0"/>
    </format>
    <format dxfId="91">
      <pivotArea dataOnly="0" labelOnly="1" fieldPosition="0">
        <references count="1">
          <reference field="0" count="0"/>
        </references>
      </pivotArea>
    </format>
    <format dxfId="90">
      <pivotArea type="all" dataOnly="0" outline="0" fieldPosition="0"/>
    </format>
    <format dxfId="89">
      <pivotArea outline="0" collapsedLevelsAreSubtotals="1" fieldPosition="0"/>
    </format>
    <format dxfId="88">
      <pivotArea dataOnly="0" labelOnly="1" fieldPosition="0">
        <references count="1">
          <reference field="0" count="0"/>
        </references>
      </pivotArea>
    </format>
    <format dxfId="87">
      <pivotArea outline="0" collapsedLevelsAreSubtotals="1" fieldPosition="0"/>
    </format>
    <format dxfId="86">
      <pivotArea dataOnly="0" labelOnly="1" fieldPosition="0">
        <references count="1">
          <reference field="0" count="0"/>
        </references>
      </pivotArea>
    </format>
    <format dxfId="85">
      <pivotArea field="0" type="button" dataOnly="0" labelOnly="1" outline="0" axis="axisRow" fieldPosition="0"/>
    </format>
    <format dxfId="84">
      <pivotArea dataOnly="0" labelOnly="1" outline="0" fieldPosition="0">
        <references count="1">
          <reference field="4294967294" count="3">
            <x v="0"/>
            <x v="1"/>
            <x v="2"/>
          </reference>
        </references>
      </pivotArea>
    </format>
    <format dxfId="83">
      <pivotArea dataOnly="0" labelOnly="1" outline="0" fieldPosition="0">
        <references count="1">
          <reference field="4294967294" count="3">
            <x v="0"/>
            <x v="1"/>
            <x v="2"/>
          </reference>
        </references>
      </pivotArea>
    </format>
    <format dxfId="82">
      <pivotArea dataOnly="0" labelOnly="1" outline="0" fieldPosition="0">
        <references count="1">
          <reference field="4294967294" count="3">
            <x v="0"/>
            <x v="1"/>
            <x v="2"/>
          </reference>
        </references>
      </pivotArea>
    </format>
    <format dxfId="81">
      <pivotArea dataOnly="0" labelOnly="1" outline="0" fieldPosition="0">
        <references count="1">
          <reference field="4294967294" count="3">
            <x v="0"/>
            <x v="1"/>
            <x v="2"/>
          </reference>
        </references>
      </pivotArea>
    </format>
    <format dxfId="80">
      <pivotArea dataOnly="0" labelOnly="1" outline="0" fieldPosition="0">
        <references count="1">
          <reference field="4294967294" count="3">
            <x v="0"/>
            <x v="1"/>
            <x v="2"/>
          </reference>
        </references>
      </pivotArea>
    </format>
    <format dxfId="79">
      <pivotArea dataOnly="0" labelOnly="1" outline="0" fieldPosition="0">
        <references count="1">
          <reference field="4294967294" count="3">
            <x v="0"/>
            <x v="1"/>
            <x v="2"/>
          </reference>
        </references>
      </pivotArea>
    </format>
    <format dxfId="78">
      <pivotArea field="0" type="button" dataOnly="0" labelOnly="1" outline="0" axis="axisRow" fieldPosition="0"/>
    </format>
    <format dxfId="77">
      <pivotArea field="0" type="button" dataOnly="0" labelOnly="1" outline="0" axis="axisRow" fieldPosition="0"/>
    </format>
    <format dxfId="76">
      <pivotArea field="0" type="button" dataOnly="0" labelOnly="1" outline="0" axis="axisRow" fieldPosition="0"/>
    </format>
    <format dxfId="75">
      <pivotArea field="0" type="button" dataOnly="0" labelOnly="1" outline="0" axis="axisRow" fieldPosition="0"/>
    </format>
    <format dxfId="74">
      <pivotArea field="0" type="button" dataOnly="0" labelOnly="1" outline="0" axis="axisRow" fieldPosition="0"/>
    </format>
    <format dxfId="73">
      <pivotArea field="0" type="button" dataOnly="0" labelOnly="1" outline="0" axis="axisRow" fieldPosition="0"/>
    </format>
    <format dxfId="72">
      <pivotArea field="0" type="button" dataOnly="0" labelOnly="1" outline="0" axis="axisRow" fieldPosition="0"/>
    </format>
    <format dxfId="71">
      <pivotArea field="0" type="button" dataOnly="0" labelOnly="1" outline="0" axis="axisRow" fieldPosition="0"/>
    </format>
    <format dxfId="70">
      <pivotArea field="0" type="button" dataOnly="0" labelOnly="1" outline="0" axis="axisRow" fieldPosition="0"/>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outline="0" fieldPosition="0">
        <references count="1">
          <reference field="4294967294" count="3">
            <x v="0"/>
            <x v="1"/>
            <x v="2"/>
          </reference>
        </references>
      </pivotArea>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outline="0" fieldPosition="0">
        <references count="1">
          <reference field="4294967294" count="3">
            <x v="0"/>
            <x v="1"/>
            <x v="2"/>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outline="0" fieldPosition="0">
        <references count="1">
          <reference field="4294967294" count="3">
            <x v="0"/>
            <x v="1"/>
            <x v="2"/>
          </reference>
        </references>
      </pivotArea>
    </format>
    <format dxfId="54">
      <pivotArea dataOnly="0" labelOnly="1" fieldPosition="0">
        <references count="1">
          <reference field="0" count="0"/>
        </references>
      </pivotArea>
    </format>
    <format dxfId="53">
      <pivotArea dataOnly="0" labelOnly="1" fieldPosition="0">
        <references count="1">
          <reference field="0" count="0"/>
        </references>
      </pivotArea>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outline="0" fieldPosition="0">
        <references count="1">
          <reference field="4294967294" count="3">
            <x v="0"/>
            <x v="1"/>
            <x v="2"/>
          </reference>
        </references>
      </pivotArea>
    </format>
    <format dxfId="48">
      <pivotArea dataOnly="0" labelOnly="1" fieldPosition="0">
        <references count="1">
          <reference field="0" count="0"/>
        </references>
      </pivotArea>
    </format>
    <format dxfId="47">
      <pivotArea dataOnly="0" labelOnly="1" fieldPosition="0">
        <references count="1">
          <reference field="0" count="0"/>
        </references>
      </pivotArea>
    </format>
    <format dxfId="46">
      <pivotArea dataOnly="0" labelOnly="1" fieldPosition="0">
        <references count="1">
          <reference field="0" count="0"/>
        </references>
      </pivotArea>
    </format>
    <format dxfId="45">
      <pivotArea dataOnly="0" labelOnly="1" fieldPosition="0">
        <references count="1">
          <reference field="0" count="0"/>
        </references>
      </pivotArea>
    </format>
  </formats>
  <conditionalFormats count="2">
    <conditionalFormat priority="3">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 priority="2">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erage of Delivery Duration (Days)"/>
    <pivotHierarchy dragToData="1" caption="Cost"/>
    <pivotHierarchy dragToData="1" caption="Cost Savings"/>
    <pivotHierarchy dragToData="1" caption="Avg Order Cost"/>
    <pivotHierarchy dragToData="1" caption="Percentage"/>
    <pivotHierarchy dragToData="1" caption="Quantity"/>
    <pivotHierarchy dragToData="1" caption="Defective Units"/>
    <pivotHierarchy dragToData="1"/>
    <pivotHierarchy dragToData="1"/>
    <pivotHierarchy dragToData="1" caption="Negotiability"/>
    <pivotHierarchy dragToData="1" caption="Average of Negotiation Difference %"/>
    <pivotHierarchy dragToData="1" caption="Cost"/>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0AACCD1E-ABEC-421F-AD30-EFB947C040DE}">
            <x14:pivotAreas count="1">
              <pivotArea type="data" collapsedLevelsAreSubtotals="1" fieldPosition="0">
                <references count="2">
                  <reference field="4294967294" count="1" selected="0">
                    <x v="2"/>
                  </reference>
                  <reference field="0" count="5">
                    <x v="0"/>
                    <x v="1"/>
                    <x v="2"/>
                    <x v="3"/>
                    <x v="4"/>
                  </reference>
                </references>
              </pivotArea>
            </x14:pivotAreas>
          </x14:conditionalFormat>
        </x14:conditionalFormats>
      </x14:pivotTableDefinition>
    </ext>
    <ext xmlns:x15="http://schemas.microsoft.com/office/spreadsheetml/2010/11/main" uri="{E67621CE-5B39-4880-91FE-76760E9C1902}">
      <x15:pivotTableUISettings>
        <x15:activeTabTopLevelEntity name="[Procurement_KPI_Analysis_Dataset]"/>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86ACB8D-055D-43F9-B559-81552739AB03}" name="PivotTable15" cacheId="6" applyNumberFormats="0" applyBorderFormats="0" applyFontFormats="0" applyPatternFormats="0" applyAlignmentFormats="0" applyWidthHeightFormats="1" dataCaption="Values" tag="86d3cbe3-feec-48cc-bf2d-765d5829436e" updatedVersion="8" minRefreshableVersion="3" subtotalHiddenItems="1" itemPrintTitles="1" createdVersion="8" indent="0" multipleFieldFilters="0" chartFormat="61" rowHeaderCaption="Month">
  <location ref="M18:O31" firstHeaderRow="0" firstDataRow="1"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st" fld="1" baseField="0" baseItem="8" numFmtId="164"/>
    <dataField name="Quantity" fld="2" baseField="0" baseItem="0" numFmtId="165"/>
  </dataFields>
  <formats count="4">
    <format dxfId="112">
      <pivotArea type="all" dataOnly="0" outline="0" fieldPosition="0"/>
    </format>
    <format dxfId="111">
      <pivotArea dataOnly="0" labelOnly="1" outline="0" axis="axisValues" fieldPosition="0"/>
    </format>
    <format dxfId="110">
      <pivotArea outline="0" collapsedLevelsAreSubtotals="1" fieldPosition="0">
        <references count="1">
          <reference field="4294967294" count="1" selected="0">
            <x v="0"/>
          </reference>
        </references>
      </pivotArea>
    </format>
    <format dxfId="109">
      <pivotArea outline="0" collapsedLevelsAreSubtotals="1" fieldPosition="0">
        <references count="1">
          <reference field="4294967294" count="1" selected="0">
            <x v="1"/>
          </reference>
        </references>
      </pivotArea>
    </format>
  </formats>
  <chartFormats count="14">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1"/>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8" format="2"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1"/>
          </reference>
        </references>
      </pivotArea>
    </chartFormat>
  </chartFormats>
  <pivotHierarchies count="5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ppliers"/>
    <pivotHierarchy dragToData="1"/>
    <pivotHierarchy dragToData="1" caption="Item Categories"/>
    <pivotHierarchy dragToData="1"/>
    <pivotHierarchy dragToData="1" caption="Total Procurements"/>
    <pivotHierarchy dragToData="1"/>
    <pivotHierarchy dragToData="1" caption="Avg Delivery Duration (Days)"/>
    <pivotHierarchy dragToData="1" caption="Cost"/>
    <pivotHierarchy dragToData="1" caption="Cost Savings"/>
    <pivotHierarchy dragToData="1" caption="Avg Order Cost"/>
    <pivotHierarchy dragToData="1" caption="Percentage"/>
    <pivotHierarchy dragToData="1" caption="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KPI_Analysis_Dataset]"/>
        <x15:activeTabTopLevelEntity name="[Calendar]"/>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BDE2B5-BF76-4C66-A86A-46EFEA50D3D7}" autoFormatId="16" applyNumberFormats="0" applyBorderFormats="0" applyFontFormats="0" applyPatternFormats="0" applyAlignmentFormats="0" applyWidthHeightFormats="0">
  <queryTableRefresh nextId="19">
    <queryTableFields count="17">
      <queryTableField id="1" name="PO_ID" tableColumnId="1"/>
      <queryTableField id="2" name="Supplier" tableColumnId="2"/>
      <queryTableField id="3" name="Order_Date" tableColumnId="3"/>
      <queryTableField id="4" name="Delivery_Date" tableColumnId="4"/>
      <queryTableField id="5" name="Item_Category" tableColumnId="5"/>
      <queryTableField id="15" name="Delivery Duration (Days)" tableColumnId="15"/>
      <queryTableField id="6" name="Order_Status" tableColumnId="6"/>
      <queryTableField id="7" name="Quantity" tableColumnId="7"/>
      <queryTableField id="8" name="Unit_Price" tableColumnId="8"/>
      <queryTableField id="9" name="Negotiated_Price" tableColumnId="9"/>
      <queryTableField id="10" name="Actual Total" tableColumnId="10"/>
      <queryTableField id="11" name="Negotiated Total" tableColumnId="11"/>
      <queryTableField id="12" name="Negotiation Difference %" tableColumnId="12"/>
      <queryTableField id="13" name="Defective_Units" tableColumnId="13"/>
      <queryTableField id="14" name="Compliance" tableColumnId="14"/>
      <queryTableField id="17" name="Defect Rate" tableColumnId="16"/>
      <queryTableField id="18" name="Cost Saving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8DE443-D631-4A74-BBD8-8C923C409D0B}" sourceName="[Calendar].[Year]">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000886682">
      <levels count="2">
        <level uniqueName="[Calendar].[Year].[(All)]" sourceCaption="(All)" count="0"/>
        <level uniqueName="[Calendar].[Year].[Year]" sourceCaption="Year" count="3">
          <ranges>
            <range startItem="0">
              <i n="[Calendar].[Year].&amp;[2022]" c="2022"/>
              <i n="[Calendar].[Year].&amp;[2023]" c="2023"/>
              <i n="[Calendar].[Year].&amp;[2024]" c="2024"/>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84DBB6C-2015-4C6E-B9C6-2AE7C9F7B57C}" sourceName="[Calendar].[Month]">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000886682">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B88BEBBD-F98D-457D-96D9-61B434399882}" sourceName="[Procurement_KPI_Analysis_Dataset].[Item_Categor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000886682">
      <levels count="2">
        <level uniqueName="[Procurement_KPI_Analysis_Dataset].[Item_Category].[(All)]" sourceCaption="(All)" count="0"/>
        <level uniqueName="[Procurement_KPI_Analysis_Dataset].[Item_Category].[Item_Category]" sourceCaption="Item_Category" count="5">
          <ranges>
            <range startItem="0">
              <i n="[Procurement_KPI_Analysis_Dataset].[Item_Category].&amp;[Electronics]" c="Electronics"/>
              <i n="[Procurement_KPI_Analysis_Dataset].[Item_Category].&amp;[MRO]" c="MRO"/>
              <i n="[Procurement_KPI_Analysis_Dataset].[Item_Category].&amp;[Office Supplies]" c="Office Supplies"/>
              <i n="[Procurement_KPI_Analysis_Dataset].[Item_Category].&amp;[Packaging]" c="Packaging"/>
              <i n="[Procurement_KPI_Analysis_Dataset].[Item_Category].&amp;[Raw Materials]" c="Raw Materials"/>
            </range>
          </ranges>
        </level>
      </levels>
      <selections count="1">
        <selection n="[Procurement_KPI_Analysis_Dataset].[Item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0D29C82-70B8-4822-A43F-4AE329C48EE0}" sourceName="[Procurement_KPI_Analysis_Dataset].[Order_Status]">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000886682">
      <levels count="2">
        <level uniqueName="[Procurement_KPI_Analysis_Dataset].[Order_Status].[(All)]" sourceCaption="(All)" count="0"/>
        <level uniqueName="[Procurement_KPI_Analysis_Dataset].[Order_Status].[Order_Status]" sourceCaption="Order_Status" count="4">
          <ranges>
            <range startItem="0">
              <i n="[Procurement_KPI_Analysis_Dataset].[Order_Status].&amp;[Cancelled]" c="Cancelled"/>
              <i n="[Procurement_KPI_Analysis_Dataset].[Order_Status].&amp;[Delivered]" c="Delivered"/>
              <i n="[Procurement_KPI_Analysis_Dataset].[Order_Status].&amp;[Partially Delivered]" c="Partially Delivered"/>
              <i n="[Procurement_KPI_Analysis_Dataset].[Order_Status].&amp;[Pending]" c="Pending"/>
            </range>
          </ranges>
        </level>
      </levels>
      <selections count="1">
        <selection n="[Procurement_KPI_Analysis_Dataset].[Order_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9D874B0-D0CE-45C3-A101-589578A9959D}" sourceName="[Procurement_KPI_Analysis_Dataset].[Supplier]">
  <pivotTables>
    <pivotTable tabId="4" name="PivotTable17"/>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543151437">
      <levels count="2">
        <level uniqueName="[Procurement_KPI_Analysis_Dataset].[Supplier].[(All)]" sourceCaption="(All)" count="0"/>
        <level uniqueName="[Procurement_KPI_Analysis_Dataset].[Supplier].[Supplier]" sourceCaption="Supplier" count="5">
          <ranges>
            <range startItem="0">
              <i n="[Procurement_KPI_Analysis_Dataset].[Supplier].&amp;[Alpha_Inc]" c="Alpha_Inc"/>
              <i n="[Procurement_KPI_Analysis_Dataset].[Supplier].&amp;[Beta_Supplies]" c="Beta_Supplies"/>
              <i n="[Procurement_KPI_Analysis_Dataset].[Supplier].&amp;[Delta_Logistics]" c="Delta_Logistics"/>
              <i n="[Procurement_KPI_Analysis_Dataset].[Supplier].&amp;[Epsilon_Group]" c="Epsilon_Group"/>
              <i n="[Procurement_KPI_Analysis_Dataset].[Supplier].&amp;[Gamma_Co]" c="Gamma_Co"/>
            </range>
          </ranges>
        </level>
      </levels>
      <selections count="1">
        <selection n="[Procurement_KPI_Analysis_Dataset].[Suppl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5424ED-EEB2-462A-931D-043E3483251C}" cache="Slicer_Year" caption="Year" columnCount="3" showCaption="0" level="1" style="SlicerStyleLight1 2 2" rowHeight="256032"/>
  <slicer name="Month" xr10:uid="{BA59838D-4CB6-44A4-AB4E-9B1F57C4B226}" cache="Slicer_Month" caption="Month" level="1" style="SlicerStyleLight1 2" rowHeight="274320"/>
  <slicer name="Item_Category" xr10:uid="{BF5F4241-AC99-41A5-AB04-BC9B122879F0}" cache="Slicer_Item_Category" caption="Category" level="1" style="SlicerStyleLight1 2" rowHeight="274320"/>
  <slicer name="Order_Status" xr10:uid="{458DCE43-D916-43A9-A74D-D8097318BA35}" cache="Slicer_Order_Status" caption="Order_Status" columnCount="4" showCaption="0" level="1" style="SlicerStyleLight1 2 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7802A51-8033-425E-BC2E-8FBA38D38AAA}" cache="Slicer_Year" caption="Year" columnCount="3" showCaption="0" level="1" style="SlicerStyleLight1 2 2" rowHeight="256032"/>
  <slicer name="Month 1" xr10:uid="{667EC374-D252-4468-9FC0-13C7C6311464}" cache="Slicer_Month" caption="Month" level="1" style="SlicerStyleLight1 2" rowHeight="274320"/>
  <slicer name="Item_Category 1" xr10:uid="{2329712D-9BDD-47D4-AD07-6115FF92A93F}" cache="Slicer_Item_Category" caption="Category" level="1" style="SlicerStyleLight1 2" rowHeight="274320"/>
  <slicer name="Supplier" xr10:uid="{15F19799-1D79-410F-A02C-D803DFC52172}" cache="Slicer_Supplier" caption="Supplier" columnCount="5" showCaption="0" level="1" style="SlicerStyleLight1 2 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C19E8-2392-4A31-A66B-5CAC36A37469}" name="Procurement_KPI_Analysis_Dataset" displayName="Procurement_KPI_Analysis_Dataset" ref="A1:Q691" tableType="queryTable" totalsRowShown="0">
  <autoFilter ref="A1:Q691" xr:uid="{3FBC19E8-2392-4A31-A66B-5CAC36A37469}"/>
  <tableColumns count="17">
    <tableColumn id="1" xr3:uid="{E197BA2E-E207-490B-9D53-F1E6C9B65DC7}" uniqueName="1" name="PO_ID" queryTableFieldId="1" dataDxfId="119"/>
    <tableColumn id="2" xr3:uid="{4E2D5630-7B07-44F6-AE44-939F47845C9D}" uniqueName="2" name="Supplier" queryTableFieldId="2" dataDxfId="118"/>
    <tableColumn id="3" xr3:uid="{0DCBA137-A047-40A8-BE10-239953F897D1}" uniqueName="3" name="Order_Date" queryTableFieldId="3" dataDxfId="117"/>
    <tableColumn id="4" xr3:uid="{B7913C25-CAF5-4F3A-BDA2-B62BBF2A4EB4}" uniqueName="4" name="Delivery_Date" queryTableFieldId="4" dataDxfId="116"/>
    <tableColumn id="5" xr3:uid="{860B8897-B33E-4DB1-BBA9-51EC1C9B8370}" uniqueName="5" name="Item_Category" queryTableFieldId="5" dataDxfId="115"/>
    <tableColumn id="15" xr3:uid="{F724CCC0-9B50-4F81-8F4D-CB717E849066}" uniqueName="15" name="Delivery Duration (Days)" queryTableFieldId="15"/>
    <tableColumn id="6" xr3:uid="{0D117005-5E03-4E8C-A345-9C75CAEC8812}" uniqueName="6" name="Order_Status" queryTableFieldId="6" dataDxfId="114"/>
    <tableColumn id="7" xr3:uid="{420B7E3E-F999-407A-9BC9-C9B68AC1E9FE}" uniqueName="7" name="Quantity" queryTableFieldId="7"/>
    <tableColumn id="8" xr3:uid="{2DB2EA59-8AEF-497A-AAD1-271CF6C5F98B}" uniqueName="8" name="Unit_Price" queryTableFieldId="8"/>
    <tableColumn id="9" xr3:uid="{2A6171F2-7B4C-4505-9017-3AC0679FF972}" uniqueName="9" name="Negotiated_Price" queryTableFieldId="9"/>
    <tableColumn id="10" xr3:uid="{8A60AE43-617A-4AEF-87C8-815977898011}" uniqueName="10" name="Actual Total" queryTableFieldId="10"/>
    <tableColumn id="11" xr3:uid="{58C4D19E-E188-4655-A697-0E2103042E25}" uniqueName="11" name="Negotiated Total" queryTableFieldId="11"/>
    <tableColumn id="12" xr3:uid="{79C854E0-DD4B-4256-A8DC-31AFE0349415}" uniqueName="12" name="Negotiation Difference %" queryTableFieldId="12"/>
    <tableColumn id="13" xr3:uid="{EF789B1B-4F2F-43F0-A919-D2A1D5EA8627}" uniqueName="13" name="Defective_Units" queryTableFieldId="13"/>
    <tableColumn id="14" xr3:uid="{A88650A2-81ED-47B9-8007-B8CD1D2B565B}" uniqueName="14" name="Compliance" queryTableFieldId="14" dataDxfId="113"/>
    <tableColumn id="16" xr3:uid="{DE6AD93E-8B26-44BE-BDC1-47C212EEC87F}" uniqueName="16" name="Defect Rate" queryTableFieldId="17"/>
    <tableColumn id="17" xr3:uid="{B0CF640A-883C-4BCF-81E2-179BDC0EC5D8}" uniqueName="17" name="Cost Saving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3A70-3148-4317-837D-66D2C8FCF57C}">
  <dimension ref="A1:Q691"/>
  <sheetViews>
    <sheetView workbookViewId="0">
      <selection sqref="A1:P691"/>
    </sheetView>
  </sheetViews>
  <sheetFormatPr defaultRowHeight="14.4" x14ac:dyDescent="0.3"/>
  <cols>
    <col min="1" max="1" width="9" bestFit="1" customWidth="1"/>
    <col min="2" max="2" width="13.33203125" bestFit="1" customWidth="1"/>
    <col min="3" max="3" width="12.88671875" bestFit="1" customWidth="1"/>
    <col min="4" max="4" width="14.88671875" bestFit="1" customWidth="1"/>
    <col min="5" max="5" width="15.77734375" bestFit="1" customWidth="1"/>
    <col min="6" max="6" width="23.88671875" bestFit="1" customWidth="1"/>
    <col min="7" max="7" width="15.77734375" bestFit="1" customWidth="1"/>
    <col min="8" max="8" width="10.5546875" bestFit="1" customWidth="1"/>
    <col min="9" max="9" width="11.88671875" bestFit="1" customWidth="1"/>
    <col min="10" max="10" width="17.77734375" bestFit="1" customWidth="1"/>
    <col min="11" max="11" width="13.21875" bestFit="1" customWidth="1"/>
    <col min="12" max="12" width="17.33203125" bestFit="1" customWidth="1"/>
    <col min="13" max="13" width="24.44140625" bestFit="1" customWidth="1"/>
    <col min="14" max="14" width="16.5546875" bestFit="1" customWidth="1"/>
    <col min="15" max="15" width="13.109375" customWidth="1"/>
    <col min="16" max="16" width="12.88671875" bestFit="1" customWidth="1"/>
    <col min="17" max="17" width="13.6640625" bestFit="1" customWidth="1"/>
  </cols>
  <sheetData>
    <row r="1" spans="1:17" x14ac:dyDescent="0.3">
      <c r="A1" t="s">
        <v>0</v>
      </c>
      <c r="B1" t="s">
        <v>1</v>
      </c>
      <c r="C1" t="s">
        <v>2</v>
      </c>
      <c r="D1" t="s">
        <v>3</v>
      </c>
      <c r="E1" t="s">
        <v>4</v>
      </c>
      <c r="F1" t="s">
        <v>723</v>
      </c>
      <c r="G1" t="s">
        <v>5</v>
      </c>
      <c r="H1" t="s">
        <v>6</v>
      </c>
      <c r="I1" t="s">
        <v>7</v>
      </c>
      <c r="J1" t="s">
        <v>8</v>
      </c>
      <c r="K1" t="s">
        <v>9</v>
      </c>
      <c r="L1" t="s">
        <v>10</v>
      </c>
      <c r="M1" t="s">
        <v>11</v>
      </c>
      <c r="N1" t="s">
        <v>12</v>
      </c>
      <c r="O1" t="s">
        <v>13</v>
      </c>
      <c r="P1" t="s">
        <v>725</v>
      </c>
      <c r="Q1" t="s">
        <v>728</v>
      </c>
    </row>
    <row r="2" spans="1:17" x14ac:dyDescent="0.3">
      <c r="A2" t="s">
        <v>14</v>
      </c>
      <c r="B2" t="s">
        <v>15</v>
      </c>
      <c r="C2" s="1">
        <v>45216</v>
      </c>
      <c r="D2" s="1">
        <v>45224</v>
      </c>
      <c r="E2" t="s">
        <v>16</v>
      </c>
      <c r="F2">
        <v>8</v>
      </c>
      <c r="G2" t="s">
        <v>17</v>
      </c>
      <c r="H2">
        <v>1176</v>
      </c>
      <c r="I2">
        <v>20.13</v>
      </c>
      <c r="J2">
        <v>17.809999999999999</v>
      </c>
      <c r="K2">
        <v>23672.880000000001</v>
      </c>
      <c r="L2">
        <v>20944.560000000001</v>
      </c>
      <c r="M2">
        <v>0.11525086934923</v>
      </c>
      <c r="N2">
        <v>0</v>
      </c>
      <c r="O2" t="s">
        <v>18</v>
      </c>
      <c r="P2">
        <v>0</v>
      </c>
      <c r="Q2">
        <v>2728.32</v>
      </c>
    </row>
    <row r="3" spans="1:17" x14ac:dyDescent="0.3">
      <c r="A3" t="s">
        <v>19</v>
      </c>
      <c r="B3" t="s">
        <v>20</v>
      </c>
      <c r="C3" s="1">
        <v>44676</v>
      </c>
      <c r="D3" s="1">
        <v>44686</v>
      </c>
      <c r="E3" t="s">
        <v>16</v>
      </c>
      <c r="F3">
        <v>10</v>
      </c>
      <c r="G3" t="s">
        <v>21</v>
      </c>
      <c r="H3">
        <v>1509</v>
      </c>
      <c r="I3">
        <v>39.32</v>
      </c>
      <c r="J3">
        <v>37.340000000000003</v>
      </c>
      <c r="K3">
        <v>59333.88</v>
      </c>
      <c r="L3">
        <v>56346.06</v>
      </c>
      <c r="M3">
        <v>5.0356052899287802E-2</v>
      </c>
      <c r="N3">
        <v>235</v>
      </c>
      <c r="O3" t="s">
        <v>18</v>
      </c>
      <c r="P3">
        <v>0.15573227302849599</v>
      </c>
      <c r="Q3">
        <v>2987.82</v>
      </c>
    </row>
    <row r="4" spans="1:17" x14ac:dyDescent="0.3">
      <c r="A4" t="s">
        <v>22</v>
      </c>
      <c r="B4" t="s">
        <v>23</v>
      </c>
      <c r="C4" s="1">
        <v>44587</v>
      </c>
      <c r="D4" s="1">
        <v>44607</v>
      </c>
      <c r="E4" t="s">
        <v>24</v>
      </c>
      <c r="F4">
        <v>20</v>
      </c>
      <c r="G4" t="s">
        <v>21</v>
      </c>
      <c r="H4">
        <v>910</v>
      </c>
      <c r="I4">
        <v>95.51</v>
      </c>
      <c r="J4">
        <v>92.26</v>
      </c>
      <c r="K4">
        <v>86914.1</v>
      </c>
      <c r="L4">
        <v>83956.6</v>
      </c>
      <c r="M4">
        <v>3.4027850486860002E-2</v>
      </c>
      <c r="N4">
        <v>41</v>
      </c>
      <c r="O4" t="s">
        <v>18</v>
      </c>
      <c r="P4">
        <v>4.5054945054945103E-2</v>
      </c>
      <c r="Q4">
        <v>2957.5</v>
      </c>
    </row>
    <row r="5" spans="1:17" x14ac:dyDescent="0.3">
      <c r="A5" t="s">
        <v>25</v>
      </c>
      <c r="B5" t="s">
        <v>26</v>
      </c>
      <c r="C5" s="1">
        <v>44843</v>
      </c>
      <c r="D5" s="1">
        <v>44862</v>
      </c>
      <c r="E5" t="s">
        <v>27</v>
      </c>
      <c r="F5">
        <v>19</v>
      </c>
      <c r="G5" t="s">
        <v>21</v>
      </c>
      <c r="H5">
        <v>1344</v>
      </c>
      <c r="I5">
        <v>99.85</v>
      </c>
      <c r="J5">
        <v>95.52</v>
      </c>
      <c r="K5">
        <v>134198.39999999999</v>
      </c>
      <c r="L5">
        <v>128378.88</v>
      </c>
      <c r="M5">
        <v>4.3365047571357097E-2</v>
      </c>
      <c r="N5">
        <v>112</v>
      </c>
      <c r="O5" t="s">
        <v>18</v>
      </c>
      <c r="P5">
        <v>8.3333333333333301E-2</v>
      </c>
      <c r="Q5">
        <v>5819.52</v>
      </c>
    </row>
    <row r="6" spans="1:17" x14ac:dyDescent="0.3">
      <c r="A6" t="s">
        <v>28</v>
      </c>
      <c r="B6" t="s">
        <v>20</v>
      </c>
      <c r="C6" s="1">
        <v>44812</v>
      </c>
      <c r="D6" s="1">
        <v>44824</v>
      </c>
      <c r="E6" t="s">
        <v>29</v>
      </c>
      <c r="F6">
        <v>12</v>
      </c>
      <c r="G6" t="s">
        <v>21</v>
      </c>
      <c r="H6">
        <v>1180</v>
      </c>
      <c r="I6">
        <v>64.069999999999993</v>
      </c>
      <c r="J6">
        <v>60.53</v>
      </c>
      <c r="K6">
        <v>75602.600000000006</v>
      </c>
      <c r="L6">
        <v>71425.399999999994</v>
      </c>
      <c r="M6">
        <v>5.5252068050569703E-2</v>
      </c>
      <c r="N6">
        <v>171</v>
      </c>
      <c r="O6" t="s">
        <v>30</v>
      </c>
      <c r="P6">
        <v>0.14491525423728799</v>
      </c>
      <c r="Q6">
        <v>4177.2</v>
      </c>
    </row>
    <row r="7" spans="1:17" x14ac:dyDescent="0.3">
      <c r="A7" t="s">
        <v>31</v>
      </c>
      <c r="B7" t="s">
        <v>32</v>
      </c>
      <c r="C7" s="1">
        <v>44790</v>
      </c>
      <c r="D7" s="1">
        <v>44802</v>
      </c>
      <c r="E7" t="s">
        <v>24</v>
      </c>
      <c r="F7">
        <v>12</v>
      </c>
      <c r="G7" t="s">
        <v>21</v>
      </c>
      <c r="H7">
        <v>1145</v>
      </c>
      <c r="I7">
        <v>69.209999999999994</v>
      </c>
      <c r="J7">
        <v>63.57</v>
      </c>
      <c r="K7">
        <v>79245.45</v>
      </c>
      <c r="L7">
        <v>72787.649999999994</v>
      </c>
      <c r="M7">
        <v>8.1491114000867004E-2</v>
      </c>
      <c r="N7">
        <v>39</v>
      </c>
      <c r="O7" t="s">
        <v>18</v>
      </c>
      <c r="P7">
        <v>3.4061135371178997E-2</v>
      </c>
      <c r="Q7">
        <v>6457.8</v>
      </c>
    </row>
    <row r="8" spans="1:17" x14ac:dyDescent="0.3">
      <c r="A8" t="s">
        <v>33</v>
      </c>
      <c r="B8" t="s">
        <v>23</v>
      </c>
      <c r="C8" s="1">
        <v>44704</v>
      </c>
      <c r="D8" s="1">
        <v>44715</v>
      </c>
      <c r="E8" t="s">
        <v>24</v>
      </c>
      <c r="F8">
        <v>11</v>
      </c>
      <c r="G8" t="s">
        <v>21</v>
      </c>
      <c r="H8">
        <v>1774</v>
      </c>
      <c r="I8">
        <v>51.37</v>
      </c>
      <c r="J8">
        <v>47.82</v>
      </c>
      <c r="K8">
        <v>91130.38</v>
      </c>
      <c r="L8">
        <v>84832.68</v>
      </c>
      <c r="M8">
        <v>6.9106482382713497E-2</v>
      </c>
      <c r="N8">
        <v>96</v>
      </c>
      <c r="O8" t="s">
        <v>30</v>
      </c>
      <c r="P8">
        <v>5.4114994363021397E-2</v>
      </c>
      <c r="Q8">
        <v>6297.7</v>
      </c>
    </row>
    <row r="9" spans="1:17" x14ac:dyDescent="0.3">
      <c r="A9" t="s">
        <v>34</v>
      </c>
      <c r="B9" t="s">
        <v>15</v>
      </c>
      <c r="C9" s="1">
        <v>44666</v>
      </c>
      <c r="D9" s="1">
        <v>44680</v>
      </c>
      <c r="E9" t="s">
        <v>24</v>
      </c>
      <c r="F9">
        <v>14</v>
      </c>
      <c r="G9" t="s">
        <v>21</v>
      </c>
      <c r="H9">
        <v>1094</v>
      </c>
      <c r="I9">
        <v>36.93</v>
      </c>
      <c r="J9">
        <v>32.78</v>
      </c>
      <c r="K9">
        <v>40401.42</v>
      </c>
      <c r="L9">
        <v>35861.32</v>
      </c>
      <c r="M9">
        <v>0.112374763065259</v>
      </c>
      <c r="N9">
        <v>22</v>
      </c>
      <c r="O9" t="s">
        <v>18</v>
      </c>
      <c r="P9">
        <v>2.0109689213894E-2</v>
      </c>
      <c r="Q9">
        <v>4540.1000000000004</v>
      </c>
    </row>
    <row r="10" spans="1:17" x14ac:dyDescent="0.3">
      <c r="A10" t="s">
        <v>35</v>
      </c>
      <c r="B10" t="s">
        <v>23</v>
      </c>
      <c r="C10" s="1">
        <v>45254</v>
      </c>
      <c r="D10" s="1">
        <v>45258</v>
      </c>
      <c r="E10" t="s">
        <v>29</v>
      </c>
      <c r="F10">
        <v>4</v>
      </c>
      <c r="G10" t="s">
        <v>36</v>
      </c>
      <c r="H10">
        <v>1688</v>
      </c>
      <c r="I10">
        <v>43.93</v>
      </c>
      <c r="J10">
        <v>39.89</v>
      </c>
      <c r="K10">
        <v>74153.84</v>
      </c>
      <c r="L10">
        <v>67334.320000000007</v>
      </c>
      <c r="M10">
        <v>9.1964488959708504E-2</v>
      </c>
      <c r="N10">
        <v>89</v>
      </c>
      <c r="O10" t="s">
        <v>18</v>
      </c>
      <c r="P10">
        <v>5.2725118483412298E-2</v>
      </c>
      <c r="Q10">
        <v>6819.52</v>
      </c>
    </row>
    <row r="11" spans="1:17" x14ac:dyDescent="0.3">
      <c r="A11" t="s">
        <v>37</v>
      </c>
      <c r="B11" t="s">
        <v>23</v>
      </c>
      <c r="C11" s="1">
        <v>45120</v>
      </c>
      <c r="D11" s="1">
        <v>45132</v>
      </c>
      <c r="E11" t="s">
        <v>29</v>
      </c>
      <c r="F11">
        <v>12</v>
      </c>
      <c r="G11" t="s">
        <v>38</v>
      </c>
      <c r="H11">
        <v>171</v>
      </c>
      <c r="I11">
        <v>76.87</v>
      </c>
      <c r="J11">
        <v>70.2</v>
      </c>
      <c r="K11">
        <v>13144.77</v>
      </c>
      <c r="L11">
        <v>12004.2</v>
      </c>
      <c r="M11">
        <v>8.6769871211135594E-2</v>
      </c>
      <c r="N11">
        <v>8</v>
      </c>
      <c r="O11" t="s">
        <v>18</v>
      </c>
      <c r="P11">
        <v>4.6783625730994198E-2</v>
      </c>
      <c r="Q11">
        <v>1140.57</v>
      </c>
    </row>
    <row r="12" spans="1:17" x14ac:dyDescent="0.3">
      <c r="A12" t="s">
        <v>39</v>
      </c>
      <c r="B12" t="s">
        <v>32</v>
      </c>
      <c r="C12" s="1">
        <v>44651</v>
      </c>
      <c r="D12" s="1">
        <v>44666</v>
      </c>
      <c r="E12" t="s">
        <v>29</v>
      </c>
      <c r="F12">
        <v>15</v>
      </c>
      <c r="G12" t="s">
        <v>21</v>
      </c>
      <c r="H12">
        <v>5000</v>
      </c>
      <c r="I12">
        <v>78.489999999999995</v>
      </c>
      <c r="J12">
        <v>73.680000000000007</v>
      </c>
      <c r="K12">
        <v>392450</v>
      </c>
      <c r="L12">
        <v>368400</v>
      </c>
      <c r="M12">
        <v>6.1281691935278201E-2</v>
      </c>
      <c r="N12">
        <v>18</v>
      </c>
      <c r="O12" t="s">
        <v>18</v>
      </c>
      <c r="P12">
        <v>3.5999999999999999E-3</v>
      </c>
      <c r="Q12">
        <v>24050</v>
      </c>
    </row>
    <row r="13" spans="1:17" x14ac:dyDescent="0.3">
      <c r="A13" t="s">
        <v>40</v>
      </c>
      <c r="B13" t="s">
        <v>26</v>
      </c>
      <c r="C13" s="1">
        <v>45166</v>
      </c>
      <c r="D13" s="1">
        <v>45180</v>
      </c>
      <c r="E13" t="s">
        <v>29</v>
      </c>
      <c r="F13">
        <v>14</v>
      </c>
      <c r="G13" t="s">
        <v>21</v>
      </c>
      <c r="H13">
        <v>5000</v>
      </c>
      <c r="I13">
        <v>88.96</v>
      </c>
      <c r="J13">
        <v>86.58</v>
      </c>
      <c r="K13">
        <v>444800</v>
      </c>
      <c r="L13">
        <v>432900</v>
      </c>
      <c r="M13">
        <v>2.6753597122301999E-2</v>
      </c>
      <c r="N13">
        <v>115</v>
      </c>
      <c r="O13" t="s">
        <v>18</v>
      </c>
      <c r="P13">
        <v>2.3E-2</v>
      </c>
      <c r="Q13">
        <v>11900</v>
      </c>
    </row>
    <row r="14" spans="1:17" x14ac:dyDescent="0.3">
      <c r="A14" t="s">
        <v>41</v>
      </c>
      <c r="B14" t="s">
        <v>26</v>
      </c>
      <c r="C14" s="1">
        <v>44994</v>
      </c>
      <c r="D14" s="1">
        <v>45011</v>
      </c>
      <c r="E14" t="s">
        <v>42</v>
      </c>
      <c r="F14">
        <v>17</v>
      </c>
      <c r="G14" t="s">
        <v>38</v>
      </c>
      <c r="H14">
        <v>5000</v>
      </c>
      <c r="I14">
        <v>86.74</v>
      </c>
      <c r="J14">
        <v>74.86</v>
      </c>
      <c r="K14">
        <v>433700</v>
      </c>
      <c r="L14">
        <v>374300</v>
      </c>
      <c r="M14">
        <v>0.13696103297210099</v>
      </c>
      <c r="N14">
        <v>51</v>
      </c>
      <c r="O14" t="s">
        <v>18</v>
      </c>
      <c r="P14">
        <v>1.0200000000000001E-2</v>
      </c>
      <c r="Q14">
        <v>59400</v>
      </c>
    </row>
    <row r="15" spans="1:17" x14ac:dyDescent="0.3">
      <c r="A15" t="s">
        <v>43</v>
      </c>
      <c r="B15" t="s">
        <v>20</v>
      </c>
      <c r="C15" s="1">
        <v>44592</v>
      </c>
      <c r="D15" s="1">
        <v>44610</v>
      </c>
      <c r="E15" t="s">
        <v>42</v>
      </c>
      <c r="F15">
        <v>18</v>
      </c>
      <c r="G15" t="s">
        <v>38</v>
      </c>
      <c r="H15">
        <v>5000</v>
      </c>
      <c r="I15">
        <v>54.5</v>
      </c>
      <c r="J15">
        <v>48.45</v>
      </c>
      <c r="K15">
        <v>272500</v>
      </c>
      <c r="L15">
        <v>242250</v>
      </c>
      <c r="M15">
        <v>0.111009174311927</v>
      </c>
      <c r="N15">
        <v>22</v>
      </c>
      <c r="O15" t="s">
        <v>18</v>
      </c>
      <c r="P15">
        <v>4.4000000000000003E-3</v>
      </c>
      <c r="Q15">
        <v>30250</v>
      </c>
    </row>
    <row r="16" spans="1:17" x14ac:dyDescent="0.3">
      <c r="A16" t="s">
        <v>44</v>
      </c>
      <c r="B16" t="s">
        <v>26</v>
      </c>
      <c r="C16" s="1">
        <v>44657</v>
      </c>
      <c r="D16" s="1">
        <v>44672</v>
      </c>
      <c r="E16" t="s">
        <v>27</v>
      </c>
      <c r="F16">
        <v>15</v>
      </c>
      <c r="G16" t="s">
        <v>21</v>
      </c>
      <c r="H16">
        <v>5000</v>
      </c>
      <c r="I16">
        <v>15.41</v>
      </c>
      <c r="J16">
        <v>15.12</v>
      </c>
      <c r="K16">
        <v>77050</v>
      </c>
      <c r="L16">
        <v>75600</v>
      </c>
      <c r="M16">
        <v>1.8818948734587899E-2</v>
      </c>
      <c r="N16">
        <v>0</v>
      </c>
      <c r="O16" t="s">
        <v>18</v>
      </c>
      <c r="P16">
        <v>0</v>
      </c>
      <c r="Q16">
        <v>1450</v>
      </c>
    </row>
    <row r="17" spans="1:17" x14ac:dyDescent="0.3">
      <c r="A17" t="s">
        <v>45</v>
      </c>
      <c r="B17" t="s">
        <v>20</v>
      </c>
      <c r="C17" s="1">
        <v>44785</v>
      </c>
      <c r="D17" s="1">
        <v>44804</v>
      </c>
      <c r="E17" t="s">
        <v>24</v>
      </c>
      <c r="F17">
        <v>19</v>
      </c>
      <c r="G17" t="s">
        <v>21</v>
      </c>
      <c r="H17">
        <v>1173</v>
      </c>
      <c r="I17">
        <v>61.54</v>
      </c>
      <c r="J17">
        <v>55.49</v>
      </c>
      <c r="K17">
        <v>72186.42</v>
      </c>
      <c r="L17">
        <v>65089.77</v>
      </c>
      <c r="M17">
        <v>9.8310042248943699E-2</v>
      </c>
      <c r="N17">
        <v>172</v>
      </c>
      <c r="O17" t="s">
        <v>30</v>
      </c>
      <c r="P17">
        <v>0.14663256606990599</v>
      </c>
      <c r="Q17">
        <v>7096.65</v>
      </c>
    </row>
    <row r="18" spans="1:17" x14ac:dyDescent="0.3">
      <c r="A18" t="s">
        <v>46</v>
      </c>
      <c r="B18" t="s">
        <v>32</v>
      </c>
      <c r="C18" s="1">
        <v>44800</v>
      </c>
      <c r="D18" s="1">
        <v>44808</v>
      </c>
      <c r="E18" t="s">
        <v>29</v>
      </c>
      <c r="F18">
        <v>8</v>
      </c>
      <c r="G18" t="s">
        <v>21</v>
      </c>
      <c r="H18">
        <v>921</v>
      </c>
      <c r="I18">
        <v>51.48</v>
      </c>
      <c r="J18">
        <v>50.61</v>
      </c>
      <c r="K18">
        <v>47413.08</v>
      </c>
      <c r="L18">
        <v>46611.81</v>
      </c>
      <c r="M18">
        <v>1.6899766899766799E-2</v>
      </c>
      <c r="N18">
        <v>0</v>
      </c>
      <c r="O18" t="s">
        <v>18</v>
      </c>
      <c r="P18">
        <v>0</v>
      </c>
      <c r="Q18">
        <v>801.27</v>
      </c>
    </row>
    <row r="19" spans="1:17" x14ac:dyDescent="0.3">
      <c r="A19" t="s">
        <v>47</v>
      </c>
      <c r="B19" t="s">
        <v>23</v>
      </c>
      <c r="C19" s="1">
        <v>45079</v>
      </c>
      <c r="D19" s="1">
        <v>45082</v>
      </c>
      <c r="E19" t="s">
        <v>29</v>
      </c>
      <c r="F19">
        <v>3</v>
      </c>
      <c r="G19" t="s">
        <v>36</v>
      </c>
      <c r="H19">
        <v>1737</v>
      </c>
      <c r="I19">
        <v>97.53</v>
      </c>
      <c r="J19">
        <v>87.37</v>
      </c>
      <c r="K19">
        <v>169409.61</v>
      </c>
      <c r="L19">
        <v>151761.69</v>
      </c>
      <c r="M19">
        <v>0.104173074951297</v>
      </c>
      <c r="N19">
        <v>79</v>
      </c>
      <c r="O19" t="s">
        <v>18</v>
      </c>
      <c r="P19">
        <v>4.5480713874496301E-2</v>
      </c>
      <c r="Q19">
        <v>17647.919999999998</v>
      </c>
    </row>
    <row r="20" spans="1:17" x14ac:dyDescent="0.3">
      <c r="A20" t="s">
        <v>48</v>
      </c>
      <c r="B20" t="s">
        <v>20</v>
      </c>
      <c r="C20" s="1">
        <v>45178</v>
      </c>
      <c r="D20" s="1">
        <v>45193</v>
      </c>
      <c r="E20" t="s">
        <v>29</v>
      </c>
      <c r="F20">
        <v>15</v>
      </c>
      <c r="G20" t="s">
        <v>21</v>
      </c>
      <c r="H20">
        <v>180</v>
      </c>
      <c r="I20">
        <v>45.74</v>
      </c>
      <c r="J20">
        <v>38.89</v>
      </c>
      <c r="K20">
        <v>8233.2000000000007</v>
      </c>
      <c r="L20">
        <v>7000.2</v>
      </c>
      <c r="M20">
        <v>0.14975951027546999</v>
      </c>
      <c r="N20">
        <v>0</v>
      </c>
      <c r="O20" t="s">
        <v>30</v>
      </c>
      <c r="P20">
        <v>0</v>
      </c>
      <c r="Q20">
        <v>1233</v>
      </c>
    </row>
    <row r="21" spans="1:17" x14ac:dyDescent="0.3">
      <c r="A21" t="s">
        <v>49</v>
      </c>
      <c r="B21" t="s">
        <v>32</v>
      </c>
      <c r="C21" s="1">
        <v>44589</v>
      </c>
      <c r="D21" s="1">
        <v>44604</v>
      </c>
      <c r="E21" t="s">
        <v>42</v>
      </c>
      <c r="F21">
        <v>15</v>
      </c>
      <c r="G21" t="s">
        <v>17</v>
      </c>
      <c r="H21">
        <v>1735</v>
      </c>
      <c r="I21">
        <v>20.54</v>
      </c>
      <c r="J21">
        <v>19.690000000000001</v>
      </c>
      <c r="K21">
        <v>35636.9</v>
      </c>
      <c r="L21">
        <v>34162.15</v>
      </c>
      <c r="M21">
        <v>4.1382667964946399E-2</v>
      </c>
      <c r="N21">
        <v>49</v>
      </c>
      <c r="O21" t="s">
        <v>18</v>
      </c>
      <c r="P21">
        <v>2.82420749279539E-2</v>
      </c>
      <c r="Q21">
        <v>1474.75</v>
      </c>
    </row>
    <row r="22" spans="1:17" x14ac:dyDescent="0.3">
      <c r="A22" t="s">
        <v>50</v>
      </c>
      <c r="B22" t="s">
        <v>20</v>
      </c>
      <c r="C22" s="1">
        <v>45136</v>
      </c>
      <c r="D22" s="1">
        <v>45149</v>
      </c>
      <c r="E22" t="s">
        <v>29</v>
      </c>
      <c r="F22">
        <v>13</v>
      </c>
      <c r="G22" t="s">
        <v>21</v>
      </c>
      <c r="H22">
        <v>1382</v>
      </c>
      <c r="I22">
        <v>24.93</v>
      </c>
      <c r="J22">
        <v>23.75</v>
      </c>
      <c r="K22">
        <v>34453.26</v>
      </c>
      <c r="L22">
        <v>32822.5</v>
      </c>
      <c r="M22">
        <v>4.73325310870438E-2</v>
      </c>
      <c r="N22">
        <v>0</v>
      </c>
      <c r="O22" t="s">
        <v>18</v>
      </c>
      <c r="P22">
        <v>0</v>
      </c>
      <c r="Q22">
        <v>1630.76</v>
      </c>
    </row>
    <row r="23" spans="1:17" x14ac:dyDescent="0.3">
      <c r="A23" t="s">
        <v>51</v>
      </c>
      <c r="B23" t="s">
        <v>32</v>
      </c>
      <c r="C23" s="1">
        <v>44765</v>
      </c>
      <c r="D23" s="1">
        <v>44781</v>
      </c>
      <c r="E23" t="s">
        <v>24</v>
      </c>
      <c r="F23">
        <v>16</v>
      </c>
      <c r="G23" t="s">
        <v>21</v>
      </c>
      <c r="H23">
        <v>819</v>
      </c>
      <c r="I23">
        <v>80.89</v>
      </c>
      <c r="J23">
        <v>77.03</v>
      </c>
      <c r="K23">
        <v>66248.91</v>
      </c>
      <c r="L23">
        <v>63087.57</v>
      </c>
      <c r="M23">
        <v>4.77191247372976E-2</v>
      </c>
      <c r="N23">
        <v>29</v>
      </c>
      <c r="O23" t="s">
        <v>18</v>
      </c>
      <c r="P23">
        <v>3.5409035409035401E-2</v>
      </c>
      <c r="Q23">
        <v>3161.34</v>
      </c>
    </row>
    <row r="24" spans="1:17" x14ac:dyDescent="0.3">
      <c r="A24" t="s">
        <v>52</v>
      </c>
      <c r="B24" t="s">
        <v>26</v>
      </c>
      <c r="C24" s="1">
        <v>45227</v>
      </c>
      <c r="D24" s="1">
        <v>45233</v>
      </c>
      <c r="E24" t="s">
        <v>16</v>
      </c>
      <c r="F24">
        <v>6</v>
      </c>
      <c r="G24" t="s">
        <v>36</v>
      </c>
      <c r="H24">
        <v>393</v>
      </c>
      <c r="I24">
        <v>72.53</v>
      </c>
      <c r="J24">
        <v>66.31</v>
      </c>
      <c r="K24">
        <v>28504.29</v>
      </c>
      <c r="L24">
        <v>26059.83</v>
      </c>
      <c r="M24">
        <v>8.5757617537570593E-2</v>
      </c>
      <c r="N24">
        <v>42</v>
      </c>
      <c r="O24" t="s">
        <v>30</v>
      </c>
      <c r="P24">
        <v>0.106870229007634</v>
      </c>
      <c r="Q24">
        <v>2444.46</v>
      </c>
    </row>
    <row r="25" spans="1:17" x14ac:dyDescent="0.3">
      <c r="A25" t="s">
        <v>53</v>
      </c>
      <c r="B25" t="s">
        <v>26</v>
      </c>
      <c r="C25" s="1">
        <v>45280</v>
      </c>
      <c r="D25" s="1">
        <v>45292</v>
      </c>
      <c r="E25" t="s">
        <v>24</v>
      </c>
      <c r="F25">
        <v>12</v>
      </c>
      <c r="G25" t="s">
        <v>21</v>
      </c>
      <c r="H25">
        <v>1565</v>
      </c>
      <c r="I25">
        <v>21.3</v>
      </c>
      <c r="J25">
        <v>20.09</v>
      </c>
      <c r="K25">
        <v>33334.5</v>
      </c>
      <c r="L25">
        <v>31440.85</v>
      </c>
      <c r="M25">
        <v>5.68075117370892E-2</v>
      </c>
      <c r="N25">
        <v>161</v>
      </c>
      <c r="O25" t="s">
        <v>18</v>
      </c>
      <c r="P25">
        <v>0.102875399361022</v>
      </c>
      <c r="Q25">
        <v>1893.65</v>
      </c>
    </row>
    <row r="26" spans="1:17" x14ac:dyDescent="0.3">
      <c r="A26" t="s">
        <v>54</v>
      </c>
      <c r="B26" t="s">
        <v>32</v>
      </c>
      <c r="C26" s="1">
        <v>45120</v>
      </c>
      <c r="D26" s="1">
        <v>45131</v>
      </c>
      <c r="E26" t="s">
        <v>27</v>
      </c>
      <c r="F26">
        <v>11</v>
      </c>
      <c r="G26" t="s">
        <v>21</v>
      </c>
      <c r="H26">
        <v>1487</v>
      </c>
      <c r="I26">
        <v>19.149999999999999</v>
      </c>
      <c r="J26">
        <v>17.239999999999998</v>
      </c>
      <c r="K26">
        <v>28476.05</v>
      </c>
      <c r="L26">
        <v>25635.88</v>
      </c>
      <c r="M26">
        <v>9.9738903394255896E-2</v>
      </c>
      <c r="N26">
        <v>0</v>
      </c>
      <c r="O26" t="s">
        <v>18</v>
      </c>
      <c r="P26">
        <v>0</v>
      </c>
      <c r="Q26">
        <v>2840.17</v>
      </c>
    </row>
    <row r="27" spans="1:17" x14ac:dyDescent="0.3">
      <c r="A27" t="s">
        <v>55</v>
      </c>
      <c r="B27" t="s">
        <v>15</v>
      </c>
      <c r="C27" s="1">
        <v>44991</v>
      </c>
      <c r="D27" s="1">
        <v>45011</v>
      </c>
      <c r="E27" t="s">
        <v>24</v>
      </c>
      <c r="F27">
        <v>20</v>
      </c>
      <c r="G27" t="s">
        <v>21</v>
      </c>
      <c r="H27">
        <v>855</v>
      </c>
      <c r="I27">
        <v>78.2</v>
      </c>
      <c r="J27">
        <v>67.16</v>
      </c>
      <c r="K27">
        <v>66861</v>
      </c>
      <c r="L27">
        <v>57421.8</v>
      </c>
      <c r="M27">
        <v>0.14117647058823499</v>
      </c>
      <c r="N27">
        <v>17</v>
      </c>
      <c r="O27" t="s">
        <v>18</v>
      </c>
      <c r="P27">
        <v>1.9883040935672499E-2</v>
      </c>
      <c r="Q27">
        <v>9439.2000000000007</v>
      </c>
    </row>
    <row r="28" spans="1:17" x14ac:dyDescent="0.3">
      <c r="A28" t="s">
        <v>56</v>
      </c>
      <c r="B28" t="s">
        <v>32</v>
      </c>
      <c r="C28" s="1">
        <v>44787</v>
      </c>
      <c r="D28" s="1">
        <v>44796</v>
      </c>
      <c r="E28" t="s">
        <v>29</v>
      </c>
      <c r="F28">
        <v>9</v>
      </c>
      <c r="G28" t="s">
        <v>21</v>
      </c>
      <c r="H28">
        <v>435</v>
      </c>
      <c r="I28">
        <v>17.13</v>
      </c>
      <c r="J28">
        <v>15.84</v>
      </c>
      <c r="K28">
        <v>7451.55</v>
      </c>
      <c r="L28">
        <v>6890.4</v>
      </c>
      <c r="M28">
        <v>7.5306479859894901E-2</v>
      </c>
      <c r="N28">
        <v>8</v>
      </c>
      <c r="O28" t="s">
        <v>18</v>
      </c>
      <c r="P28">
        <v>1.8390804597701201E-2</v>
      </c>
      <c r="Q28">
        <v>561.15</v>
      </c>
    </row>
    <row r="29" spans="1:17" x14ac:dyDescent="0.3">
      <c r="A29" t="s">
        <v>57</v>
      </c>
      <c r="B29" t="s">
        <v>20</v>
      </c>
      <c r="C29" s="1">
        <v>45021</v>
      </c>
      <c r="D29" s="1">
        <v>45038</v>
      </c>
      <c r="E29" t="s">
        <v>24</v>
      </c>
      <c r="F29">
        <v>17</v>
      </c>
      <c r="G29" t="s">
        <v>21</v>
      </c>
      <c r="H29">
        <v>1265</v>
      </c>
      <c r="I29">
        <v>90.26</v>
      </c>
      <c r="J29">
        <v>79.47</v>
      </c>
      <c r="K29">
        <v>114178.9</v>
      </c>
      <c r="L29">
        <v>100529.55</v>
      </c>
      <c r="M29">
        <v>0.119543540881897</v>
      </c>
      <c r="N29">
        <v>187</v>
      </c>
      <c r="O29" t="s">
        <v>18</v>
      </c>
      <c r="P29">
        <v>0.147826086956522</v>
      </c>
      <c r="Q29">
        <v>13649.35</v>
      </c>
    </row>
    <row r="30" spans="1:17" x14ac:dyDescent="0.3">
      <c r="A30" t="s">
        <v>58</v>
      </c>
      <c r="B30" t="s">
        <v>23</v>
      </c>
      <c r="C30" s="1">
        <v>44846</v>
      </c>
      <c r="D30" s="1">
        <v>44860</v>
      </c>
      <c r="E30" t="s">
        <v>42</v>
      </c>
      <c r="F30">
        <v>14</v>
      </c>
      <c r="G30" t="s">
        <v>21</v>
      </c>
      <c r="H30">
        <v>326</v>
      </c>
      <c r="I30">
        <v>18.100000000000001</v>
      </c>
      <c r="J30">
        <v>15.92</v>
      </c>
      <c r="K30">
        <v>5900.6</v>
      </c>
      <c r="L30">
        <v>5189.92</v>
      </c>
      <c r="M30">
        <v>0.120441988950276</v>
      </c>
      <c r="N30">
        <v>0</v>
      </c>
      <c r="O30" t="s">
        <v>30</v>
      </c>
      <c r="P30">
        <v>0</v>
      </c>
      <c r="Q30">
        <v>710.68</v>
      </c>
    </row>
    <row r="31" spans="1:17" x14ac:dyDescent="0.3">
      <c r="A31" t="s">
        <v>59</v>
      </c>
      <c r="B31" t="s">
        <v>15</v>
      </c>
      <c r="C31" s="1">
        <v>44568</v>
      </c>
      <c r="D31" s="1">
        <v>44576</v>
      </c>
      <c r="E31" t="s">
        <v>16</v>
      </c>
      <c r="F31">
        <v>8</v>
      </c>
      <c r="G31" t="s">
        <v>21</v>
      </c>
      <c r="H31">
        <v>1234</v>
      </c>
      <c r="I31">
        <v>17.64</v>
      </c>
      <c r="J31">
        <v>15.66</v>
      </c>
      <c r="K31">
        <v>21767.759999999998</v>
      </c>
      <c r="L31">
        <v>19324.439999999999</v>
      </c>
      <c r="M31">
        <v>0.11224489795918401</v>
      </c>
      <c r="N31">
        <v>26</v>
      </c>
      <c r="O31" t="s">
        <v>18</v>
      </c>
      <c r="P31">
        <v>2.1069692058346801E-2</v>
      </c>
      <c r="Q31">
        <v>2443.3200000000002</v>
      </c>
    </row>
    <row r="32" spans="1:17" x14ac:dyDescent="0.3">
      <c r="A32" t="s">
        <v>60</v>
      </c>
      <c r="B32" t="s">
        <v>32</v>
      </c>
      <c r="C32" s="1">
        <v>44725</v>
      </c>
      <c r="D32" s="1">
        <v>44741</v>
      </c>
      <c r="E32" t="s">
        <v>24</v>
      </c>
      <c r="F32">
        <v>16</v>
      </c>
      <c r="G32" t="s">
        <v>21</v>
      </c>
      <c r="H32">
        <v>509</v>
      </c>
      <c r="I32">
        <v>101.27</v>
      </c>
      <c r="J32">
        <v>97.82</v>
      </c>
      <c r="K32">
        <v>51546.43</v>
      </c>
      <c r="L32">
        <v>49790.38</v>
      </c>
      <c r="M32">
        <v>3.4067344722030303E-2</v>
      </c>
      <c r="N32">
        <v>19</v>
      </c>
      <c r="O32" t="s">
        <v>18</v>
      </c>
      <c r="P32">
        <v>3.7328094302554002E-2</v>
      </c>
      <c r="Q32">
        <v>1756.05</v>
      </c>
    </row>
    <row r="33" spans="1:17" x14ac:dyDescent="0.3">
      <c r="A33" t="s">
        <v>61</v>
      </c>
      <c r="B33" t="s">
        <v>15</v>
      </c>
      <c r="C33" s="1">
        <v>45276</v>
      </c>
      <c r="D33" s="1">
        <v>45277</v>
      </c>
      <c r="E33" t="s">
        <v>27</v>
      </c>
      <c r="F33">
        <v>1</v>
      </c>
      <c r="G33" t="s">
        <v>21</v>
      </c>
      <c r="H33">
        <v>1387</v>
      </c>
      <c r="I33">
        <v>48.71</v>
      </c>
      <c r="J33">
        <v>43.71</v>
      </c>
      <c r="K33">
        <v>67560.77</v>
      </c>
      <c r="L33">
        <v>60625.77</v>
      </c>
      <c r="M33">
        <v>0.102648326832273</v>
      </c>
      <c r="N33">
        <v>27</v>
      </c>
      <c r="O33" t="s">
        <v>18</v>
      </c>
      <c r="P33">
        <v>1.94664744051911E-2</v>
      </c>
      <c r="Q33">
        <v>6935</v>
      </c>
    </row>
    <row r="34" spans="1:17" x14ac:dyDescent="0.3">
      <c r="A34" t="s">
        <v>62</v>
      </c>
      <c r="B34" t="s">
        <v>15</v>
      </c>
      <c r="C34" s="1">
        <v>44994</v>
      </c>
      <c r="D34" s="1">
        <v>45002</v>
      </c>
      <c r="E34" t="s">
        <v>24</v>
      </c>
      <c r="F34">
        <v>8</v>
      </c>
      <c r="G34" t="s">
        <v>21</v>
      </c>
      <c r="H34">
        <v>71</v>
      </c>
      <c r="I34">
        <v>46.39</v>
      </c>
      <c r="J34">
        <v>43.18</v>
      </c>
      <c r="K34">
        <v>3293.69</v>
      </c>
      <c r="L34">
        <v>3065.78</v>
      </c>
      <c r="M34">
        <v>6.9195947402457395E-2</v>
      </c>
      <c r="N34">
        <v>0</v>
      </c>
      <c r="O34" t="s">
        <v>18</v>
      </c>
      <c r="P34">
        <v>0</v>
      </c>
      <c r="Q34">
        <v>227.91</v>
      </c>
    </row>
    <row r="35" spans="1:17" x14ac:dyDescent="0.3">
      <c r="A35" t="s">
        <v>63</v>
      </c>
      <c r="B35" t="s">
        <v>32</v>
      </c>
      <c r="C35" s="1">
        <v>44910</v>
      </c>
      <c r="D35" s="1">
        <v>44918</v>
      </c>
      <c r="E35" t="s">
        <v>16</v>
      </c>
      <c r="F35">
        <v>8</v>
      </c>
      <c r="G35" t="s">
        <v>21</v>
      </c>
      <c r="H35">
        <v>302</v>
      </c>
      <c r="I35">
        <v>87.73</v>
      </c>
      <c r="J35">
        <v>81.52</v>
      </c>
      <c r="K35">
        <v>26494.46</v>
      </c>
      <c r="L35">
        <v>24619.040000000001</v>
      </c>
      <c r="M35">
        <v>7.0785364185569605E-2</v>
      </c>
      <c r="N35">
        <v>9</v>
      </c>
      <c r="O35" t="s">
        <v>18</v>
      </c>
      <c r="P35">
        <v>2.9801324503311299E-2</v>
      </c>
      <c r="Q35">
        <v>1875.42</v>
      </c>
    </row>
    <row r="36" spans="1:17" x14ac:dyDescent="0.3">
      <c r="A36" t="s">
        <v>64</v>
      </c>
      <c r="B36" t="s">
        <v>32</v>
      </c>
      <c r="C36" s="1">
        <v>44846</v>
      </c>
      <c r="D36" s="1">
        <v>44865</v>
      </c>
      <c r="E36" t="s">
        <v>16</v>
      </c>
      <c r="F36">
        <v>19</v>
      </c>
      <c r="G36" t="s">
        <v>38</v>
      </c>
      <c r="H36">
        <v>797</v>
      </c>
      <c r="I36">
        <v>99.54</v>
      </c>
      <c r="J36">
        <v>91.37</v>
      </c>
      <c r="K36">
        <v>79333.38</v>
      </c>
      <c r="L36">
        <v>72821.89</v>
      </c>
      <c r="M36">
        <v>8.2077556761101095E-2</v>
      </c>
      <c r="N36">
        <v>18</v>
      </c>
      <c r="O36" t="s">
        <v>18</v>
      </c>
      <c r="P36">
        <v>2.2584692597239601E-2</v>
      </c>
      <c r="Q36">
        <v>6511.49</v>
      </c>
    </row>
    <row r="37" spans="1:17" x14ac:dyDescent="0.3">
      <c r="A37" t="s">
        <v>65</v>
      </c>
      <c r="B37" t="s">
        <v>26</v>
      </c>
      <c r="C37" s="1">
        <v>44721</v>
      </c>
      <c r="D37" s="1">
        <v>44739</v>
      </c>
      <c r="E37" t="s">
        <v>16</v>
      </c>
      <c r="F37">
        <v>18</v>
      </c>
      <c r="G37" t="s">
        <v>38</v>
      </c>
      <c r="H37">
        <v>906</v>
      </c>
      <c r="I37">
        <v>101.21</v>
      </c>
      <c r="J37">
        <v>90.9</v>
      </c>
      <c r="K37">
        <v>91696.26</v>
      </c>
      <c r="L37">
        <v>82355.399999999994</v>
      </c>
      <c r="M37">
        <v>0.101867404406679</v>
      </c>
      <c r="N37">
        <v>94</v>
      </c>
      <c r="O37" t="s">
        <v>18</v>
      </c>
      <c r="P37">
        <v>0.103752759381898</v>
      </c>
      <c r="Q37">
        <v>9340.86</v>
      </c>
    </row>
    <row r="38" spans="1:17" x14ac:dyDescent="0.3">
      <c r="A38" t="s">
        <v>66</v>
      </c>
      <c r="B38" t="s">
        <v>32</v>
      </c>
      <c r="C38" s="1">
        <v>44782</v>
      </c>
      <c r="D38" s="1">
        <v>44796</v>
      </c>
      <c r="E38" t="s">
        <v>16</v>
      </c>
      <c r="F38">
        <v>14</v>
      </c>
      <c r="G38" t="s">
        <v>21</v>
      </c>
      <c r="H38">
        <v>1634</v>
      </c>
      <c r="I38">
        <v>80.53</v>
      </c>
      <c r="J38">
        <v>76.150000000000006</v>
      </c>
      <c r="K38">
        <v>131586.01999999999</v>
      </c>
      <c r="L38">
        <v>124429.1</v>
      </c>
      <c r="M38">
        <v>5.43896684465415E-2</v>
      </c>
      <c r="N38">
        <v>50</v>
      </c>
      <c r="O38" t="s">
        <v>18</v>
      </c>
      <c r="P38">
        <v>3.0599755201958401E-2</v>
      </c>
      <c r="Q38">
        <v>7156.92</v>
      </c>
    </row>
    <row r="39" spans="1:17" x14ac:dyDescent="0.3">
      <c r="A39" t="s">
        <v>67</v>
      </c>
      <c r="B39" t="s">
        <v>26</v>
      </c>
      <c r="C39" s="1">
        <v>44666</v>
      </c>
      <c r="D39" s="1">
        <v>44678</v>
      </c>
      <c r="E39" t="s">
        <v>42</v>
      </c>
      <c r="F39">
        <v>12</v>
      </c>
      <c r="G39" t="s">
        <v>21</v>
      </c>
      <c r="H39">
        <v>1132</v>
      </c>
      <c r="I39">
        <v>17.78</v>
      </c>
      <c r="J39">
        <v>15.36</v>
      </c>
      <c r="K39">
        <v>20126.96</v>
      </c>
      <c r="L39">
        <v>17387.52</v>
      </c>
      <c r="M39">
        <v>0.13610798650168701</v>
      </c>
      <c r="N39">
        <v>96</v>
      </c>
      <c r="O39" t="s">
        <v>18</v>
      </c>
      <c r="P39">
        <v>8.4805653710247397E-2</v>
      </c>
      <c r="Q39">
        <v>2739.44</v>
      </c>
    </row>
    <row r="40" spans="1:17" x14ac:dyDescent="0.3">
      <c r="A40" t="s">
        <v>68</v>
      </c>
      <c r="B40" t="s">
        <v>26</v>
      </c>
      <c r="C40" s="1">
        <v>44656</v>
      </c>
      <c r="D40" s="1">
        <v>44665</v>
      </c>
      <c r="E40" t="s">
        <v>16</v>
      </c>
      <c r="F40">
        <v>9</v>
      </c>
      <c r="G40" t="s">
        <v>21</v>
      </c>
      <c r="H40">
        <v>560</v>
      </c>
      <c r="I40">
        <v>81.14</v>
      </c>
      <c r="J40">
        <v>77.87</v>
      </c>
      <c r="K40">
        <v>45438.400000000001</v>
      </c>
      <c r="L40">
        <v>43607.199999999997</v>
      </c>
      <c r="M40">
        <v>4.0300714813901801E-2</v>
      </c>
      <c r="N40">
        <v>34</v>
      </c>
      <c r="O40" t="s">
        <v>30</v>
      </c>
      <c r="P40">
        <v>6.07142857142857E-2</v>
      </c>
      <c r="Q40">
        <v>1831.2</v>
      </c>
    </row>
    <row r="41" spans="1:17" x14ac:dyDescent="0.3">
      <c r="A41" t="s">
        <v>69</v>
      </c>
      <c r="B41" t="s">
        <v>23</v>
      </c>
      <c r="C41" s="1">
        <v>44951</v>
      </c>
      <c r="D41" s="1">
        <v>44959</v>
      </c>
      <c r="E41" t="s">
        <v>42</v>
      </c>
      <c r="F41">
        <v>8</v>
      </c>
      <c r="G41" t="s">
        <v>21</v>
      </c>
      <c r="H41">
        <v>1755</v>
      </c>
      <c r="I41">
        <v>63.87</v>
      </c>
      <c r="J41">
        <v>58.4</v>
      </c>
      <c r="K41">
        <v>112091.85</v>
      </c>
      <c r="L41">
        <v>102492</v>
      </c>
      <c r="M41">
        <v>8.5642711758258896E-2</v>
      </c>
      <c r="N41">
        <v>85</v>
      </c>
      <c r="O41" t="s">
        <v>18</v>
      </c>
      <c r="P41">
        <v>4.8433048433048402E-2</v>
      </c>
      <c r="Q41">
        <v>9599.85</v>
      </c>
    </row>
    <row r="42" spans="1:17" x14ac:dyDescent="0.3">
      <c r="A42" t="s">
        <v>70</v>
      </c>
      <c r="B42" t="s">
        <v>32</v>
      </c>
      <c r="C42" s="1">
        <v>44661</v>
      </c>
      <c r="D42" s="1">
        <v>44668</v>
      </c>
      <c r="E42" t="s">
        <v>24</v>
      </c>
      <c r="F42">
        <v>7</v>
      </c>
      <c r="G42" t="s">
        <v>21</v>
      </c>
      <c r="H42">
        <v>1549</v>
      </c>
      <c r="I42">
        <v>48.9</v>
      </c>
      <c r="J42">
        <v>42.42</v>
      </c>
      <c r="K42">
        <v>75746.100000000006</v>
      </c>
      <c r="L42">
        <v>65708.58</v>
      </c>
      <c r="M42">
        <v>0.13251533742331301</v>
      </c>
      <c r="N42">
        <v>48</v>
      </c>
      <c r="O42" t="s">
        <v>18</v>
      </c>
      <c r="P42">
        <v>3.0987734021949601E-2</v>
      </c>
      <c r="Q42">
        <v>10037.52</v>
      </c>
    </row>
    <row r="43" spans="1:17" x14ac:dyDescent="0.3">
      <c r="A43" t="s">
        <v>71</v>
      </c>
      <c r="B43" t="s">
        <v>20</v>
      </c>
      <c r="C43" s="1">
        <v>44929</v>
      </c>
      <c r="D43" s="1">
        <v>44947</v>
      </c>
      <c r="E43" t="s">
        <v>24</v>
      </c>
      <c r="F43">
        <v>18</v>
      </c>
      <c r="G43" t="s">
        <v>21</v>
      </c>
      <c r="H43">
        <v>749</v>
      </c>
      <c r="I43">
        <v>97.07</v>
      </c>
      <c r="J43">
        <v>94.16</v>
      </c>
      <c r="K43">
        <v>72705.429999999993</v>
      </c>
      <c r="L43">
        <v>70525.84</v>
      </c>
      <c r="M43">
        <v>2.99783661275368E-2</v>
      </c>
      <c r="N43">
        <v>123</v>
      </c>
      <c r="O43" t="s">
        <v>18</v>
      </c>
      <c r="P43">
        <v>0.164218958611482</v>
      </c>
      <c r="Q43">
        <v>2179.59</v>
      </c>
    </row>
    <row r="44" spans="1:17" x14ac:dyDescent="0.3">
      <c r="A44" t="s">
        <v>72</v>
      </c>
      <c r="B44" t="s">
        <v>26</v>
      </c>
      <c r="C44" s="1">
        <v>45180</v>
      </c>
      <c r="D44" s="1">
        <v>45187</v>
      </c>
      <c r="E44" t="s">
        <v>29</v>
      </c>
      <c r="F44">
        <v>7</v>
      </c>
      <c r="G44" t="s">
        <v>21</v>
      </c>
      <c r="H44">
        <v>1856</v>
      </c>
      <c r="I44">
        <v>59.77</v>
      </c>
      <c r="J44">
        <v>50.81</v>
      </c>
      <c r="K44">
        <v>110933.12</v>
      </c>
      <c r="L44">
        <v>94303.360000000001</v>
      </c>
      <c r="M44">
        <v>0.14990798059227001</v>
      </c>
      <c r="N44">
        <v>191</v>
      </c>
      <c r="O44" t="s">
        <v>18</v>
      </c>
      <c r="P44">
        <v>0.102909482758621</v>
      </c>
      <c r="Q44">
        <v>16629.759999999998</v>
      </c>
    </row>
    <row r="45" spans="1:17" x14ac:dyDescent="0.3">
      <c r="A45" t="s">
        <v>73</v>
      </c>
      <c r="B45" t="s">
        <v>32</v>
      </c>
      <c r="C45" s="1">
        <v>44832</v>
      </c>
      <c r="D45" s="1">
        <v>44848</v>
      </c>
      <c r="E45" t="s">
        <v>16</v>
      </c>
      <c r="F45">
        <v>16</v>
      </c>
      <c r="G45" t="s">
        <v>21</v>
      </c>
      <c r="H45">
        <v>239</v>
      </c>
      <c r="I45">
        <v>11.46</v>
      </c>
      <c r="J45">
        <v>11.28</v>
      </c>
      <c r="K45">
        <v>2738.94</v>
      </c>
      <c r="L45">
        <v>2695.92</v>
      </c>
      <c r="M45">
        <v>1.5706806282722498E-2</v>
      </c>
      <c r="N45">
        <v>4</v>
      </c>
      <c r="O45" t="s">
        <v>18</v>
      </c>
      <c r="P45">
        <v>1.6736401673640201E-2</v>
      </c>
      <c r="Q45">
        <v>43.02</v>
      </c>
    </row>
    <row r="46" spans="1:17" x14ac:dyDescent="0.3">
      <c r="A46" t="s">
        <v>74</v>
      </c>
      <c r="B46" t="s">
        <v>20</v>
      </c>
      <c r="C46" s="1">
        <v>44606</v>
      </c>
      <c r="D46" s="1">
        <v>44625</v>
      </c>
      <c r="E46" t="s">
        <v>16</v>
      </c>
      <c r="F46">
        <v>19</v>
      </c>
      <c r="G46" t="s">
        <v>38</v>
      </c>
      <c r="H46">
        <v>1007</v>
      </c>
      <c r="I46">
        <v>52.44</v>
      </c>
      <c r="J46">
        <v>46.06</v>
      </c>
      <c r="K46">
        <v>52807.08</v>
      </c>
      <c r="L46">
        <v>46382.42</v>
      </c>
      <c r="M46">
        <v>0.121662852784134</v>
      </c>
      <c r="N46">
        <v>167</v>
      </c>
      <c r="O46" t="s">
        <v>18</v>
      </c>
      <c r="P46">
        <v>0.16583912611717999</v>
      </c>
      <c r="Q46">
        <v>6424.66</v>
      </c>
    </row>
    <row r="47" spans="1:17" x14ac:dyDescent="0.3">
      <c r="A47" t="s">
        <v>75</v>
      </c>
      <c r="B47" t="s">
        <v>32</v>
      </c>
      <c r="C47" s="1">
        <v>45111</v>
      </c>
      <c r="D47" s="1">
        <v>45121</v>
      </c>
      <c r="E47" t="s">
        <v>42</v>
      </c>
      <c r="F47">
        <v>10</v>
      </c>
      <c r="G47" t="s">
        <v>21</v>
      </c>
      <c r="H47">
        <v>1007</v>
      </c>
      <c r="I47">
        <v>22.56</v>
      </c>
      <c r="J47">
        <v>19.59</v>
      </c>
      <c r="K47">
        <v>22717.919999999998</v>
      </c>
      <c r="L47">
        <v>19727.13</v>
      </c>
      <c r="M47">
        <v>0.131648936170213</v>
      </c>
      <c r="N47">
        <v>0</v>
      </c>
      <c r="O47" t="s">
        <v>18</v>
      </c>
      <c r="P47">
        <v>0</v>
      </c>
      <c r="Q47">
        <v>2990.79</v>
      </c>
    </row>
    <row r="48" spans="1:17" x14ac:dyDescent="0.3">
      <c r="A48" t="s">
        <v>76</v>
      </c>
      <c r="B48" t="s">
        <v>15</v>
      </c>
      <c r="C48" s="1">
        <v>44949</v>
      </c>
      <c r="D48" s="1">
        <v>44959</v>
      </c>
      <c r="E48" t="s">
        <v>24</v>
      </c>
      <c r="F48">
        <v>10</v>
      </c>
      <c r="G48" t="s">
        <v>38</v>
      </c>
      <c r="H48">
        <v>1949</v>
      </c>
      <c r="I48">
        <v>72.53</v>
      </c>
      <c r="J48">
        <v>63.26</v>
      </c>
      <c r="K48">
        <v>141360.97</v>
      </c>
      <c r="L48">
        <v>123293.74</v>
      </c>
      <c r="M48">
        <v>0.12780918240728001</v>
      </c>
      <c r="N48">
        <v>48</v>
      </c>
      <c r="O48" t="s">
        <v>30</v>
      </c>
      <c r="P48">
        <v>2.46280143663417E-2</v>
      </c>
      <c r="Q48">
        <v>18067.23</v>
      </c>
    </row>
    <row r="49" spans="1:17" x14ac:dyDescent="0.3">
      <c r="A49" t="s">
        <v>77</v>
      </c>
      <c r="B49" t="s">
        <v>20</v>
      </c>
      <c r="C49" s="1">
        <v>44642</v>
      </c>
      <c r="D49" s="1">
        <v>44648</v>
      </c>
      <c r="E49" t="s">
        <v>16</v>
      </c>
      <c r="F49">
        <v>6</v>
      </c>
      <c r="G49" t="s">
        <v>17</v>
      </c>
      <c r="H49">
        <v>1640</v>
      </c>
      <c r="I49">
        <v>77.92</v>
      </c>
      <c r="J49">
        <v>76.41</v>
      </c>
      <c r="K49">
        <v>127788.8</v>
      </c>
      <c r="L49">
        <v>125312.4</v>
      </c>
      <c r="M49">
        <v>1.9378850102669501E-2</v>
      </c>
      <c r="N49">
        <v>262</v>
      </c>
      <c r="O49" t="s">
        <v>30</v>
      </c>
      <c r="P49">
        <v>0.159756097560976</v>
      </c>
      <c r="Q49">
        <v>2476.4</v>
      </c>
    </row>
    <row r="50" spans="1:17" x14ac:dyDescent="0.3">
      <c r="A50" t="s">
        <v>78</v>
      </c>
      <c r="B50" t="s">
        <v>26</v>
      </c>
      <c r="C50" s="1">
        <v>45127</v>
      </c>
      <c r="D50" s="1">
        <v>45145</v>
      </c>
      <c r="E50" t="s">
        <v>42</v>
      </c>
      <c r="F50">
        <v>18</v>
      </c>
      <c r="G50" t="s">
        <v>21</v>
      </c>
      <c r="H50">
        <v>1317</v>
      </c>
      <c r="I50">
        <v>68.13</v>
      </c>
      <c r="J50">
        <v>60.52</v>
      </c>
      <c r="K50">
        <v>89727.21</v>
      </c>
      <c r="L50">
        <v>79704.84</v>
      </c>
      <c r="M50">
        <v>0.111698223983561</v>
      </c>
      <c r="N50">
        <v>136</v>
      </c>
      <c r="O50" t="s">
        <v>18</v>
      </c>
      <c r="P50">
        <v>0.103264996203493</v>
      </c>
      <c r="Q50">
        <v>10022.370000000001</v>
      </c>
    </row>
    <row r="51" spans="1:17" x14ac:dyDescent="0.3">
      <c r="A51" t="s">
        <v>79</v>
      </c>
      <c r="B51" t="s">
        <v>32</v>
      </c>
      <c r="C51" s="1">
        <v>44862</v>
      </c>
      <c r="D51" s="1">
        <v>44864</v>
      </c>
      <c r="E51" t="s">
        <v>29</v>
      </c>
      <c r="F51">
        <v>2</v>
      </c>
      <c r="G51" t="s">
        <v>21</v>
      </c>
      <c r="H51">
        <v>881</v>
      </c>
      <c r="I51">
        <v>100.94</v>
      </c>
      <c r="J51">
        <v>95.05</v>
      </c>
      <c r="K51">
        <v>88928.14</v>
      </c>
      <c r="L51">
        <v>83739.05</v>
      </c>
      <c r="M51">
        <v>5.8351495938181099E-2</v>
      </c>
      <c r="N51">
        <v>30</v>
      </c>
      <c r="O51" t="s">
        <v>18</v>
      </c>
      <c r="P51">
        <v>3.4052213393870601E-2</v>
      </c>
      <c r="Q51">
        <v>5189.09</v>
      </c>
    </row>
    <row r="52" spans="1:17" x14ac:dyDescent="0.3">
      <c r="A52" t="s">
        <v>80</v>
      </c>
      <c r="B52" t="s">
        <v>20</v>
      </c>
      <c r="C52" s="1">
        <v>45195</v>
      </c>
      <c r="D52" s="1">
        <v>45200</v>
      </c>
      <c r="E52" t="s">
        <v>24</v>
      </c>
      <c r="F52">
        <v>5</v>
      </c>
      <c r="G52" t="s">
        <v>21</v>
      </c>
      <c r="H52">
        <v>1204</v>
      </c>
      <c r="I52">
        <v>39.29</v>
      </c>
      <c r="J52">
        <v>35.44</v>
      </c>
      <c r="K52">
        <v>47305.16</v>
      </c>
      <c r="L52">
        <v>42669.760000000002</v>
      </c>
      <c r="M52">
        <v>9.7989310257062895E-2</v>
      </c>
      <c r="N52">
        <v>0</v>
      </c>
      <c r="O52" t="s">
        <v>18</v>
      </c>
      <c r="P52">
        <v>0</v>
      </c>
      <c r="Q52">
        <v>4635.3999999999996</v>
      </c>
    </row>
    <row r="53" spans="1:17" x14ac:dyDescent="0.3">
      <c r="A53" t="s">
        <v>81</v>
      </c>
      <c r="B53" t="s">
        <v>32</v>
      </c>
      <c r="C53" s="1">
        <v>44932</v>
      </c>
      <c r="D53" s="1">
        <v>44948</v>
      </c>
      <c r="E53" t="s">
        <v>24</v>
      </c>
      <c r="F53">
        <v>16</v>
      </c>
      <c r="G53" t="s">
        <v>38</v>
      </c>
      <c r="H53">
        <v>1558</v>
      </c>
      <c r="I53">
        <v>93.46</v>
      </c>
      <c r="J53">
        <v>91.27</v>
      </c>
      <c r="K53">
        <v>145610.68</v>
      </c>
      <c r="L53">
        <v>142198.66</v>
      </c>
      <c r="M53">
        <v>2.3432484485341298E-2</v>
      </c>
      <c r="N53">
        <v>39</v>
      </c>
      <c r="O53" t="s">
        <v>18</v>
      </c>
      <c r="P53">
        <v>2.50320924261874E-2</v>
      </c>
      <c r="Q53">
        <v>3412.02</v>
      </c>
    </row>
    <row r="54" spans="1:17" x14ac:dyDescent="0.3">
      <c r="A54" t="s">
        <v>82</v>
      </c>
      <c r="B54" t="s">
        <v>15</v>
      </c>
      <c r="C54" s="1">
        <v>45153</v>
      </c>
      <c r="D54" s="1">
        <v>45154</v>
      </c>
      <c r="E54" t="s">
        <v>27</v>
      </c>
      <c r="F54">
        <v>1</v>
      </c>
      <c r="G54" t="s">
        <v>21</v>
      </c>
      <c r="H54">
        <v>1892</v>
      </c>
      <c r="I54">
        <v>32.99</v>
      </c>
      <c r="J54">
        <v>28.81</v>
      </c>
      <c r="K54">
        <v>62417.08</v>
      </c>
      <c r="L54">
        <v>54508.52</v>
      </c>
      <c r="M54">
        <v>0.12670506214004301</v>
      </c>
      <c r="N54">
        <v>35</v>
      </c>
      <c r="O54" t="s">
        <v>18</v>
      </c>
      <c r="P54">
        <v>1.8498942917547601E-2</v>
      </c>
      <c r="Q54">
        <v>7908.56</v>
      </c>
    </row>
    <row r="55" spans="1:17" x14ac:dyDescent="0.3">
      <c r="A55" t="s">
        <v>83</v>
      </c>
      <c r="B55" t="s">
        <v>32</v>
      </c>
      <c r="C55" s="1">
        <v>44758</v>
      </c>
      <c r="D55" s="1">
        <v>44774</v>
      </c>
      <c r="E55" t="s">
        <v>27</v>
      </c>
      <c r="F55">
        <v>16</v>
      </c>
      <c r="G55" t="s">
        <v>21</v>
      </c>
      <c r="H55">
        <v>696</v>
      </c>
      <c r="I55">
        <v>99.59</v>
      </c>
      <c r="J55">
        <v>90.18</v>
      </c>
      <c r="K55">
        <v>69314.64</v>
      </c>
      <c r="L55">
        <v>62765.279999999999</v>
      </c>
      <c r="M55">
        <v>9.4487398333165898E-2</v>
      </c>
      <c r="N55">
        <v>25</v>
      </c>
      <c r="O55" t="s">
        <v>18</v>
      </c>
      <c r="P55">
        <v>3.5919540229885097E-2</v>
      </c>
      <c r="Q55">
        <v>6549.36</v>
      </c>
    </row>
    <row r="56" spans="1:17" x14ac:dyDescent="0.3">
      <c r="A56" t="s">
        <v>84</v>
      </c>
      <c r="B56" t="s">
        <v>20</v>
      </c>
      <c r="C56" s="1">
        <v>45283</v>
      </c>
      <c r="D56" s="1">
        <v>45294</v>
      </c>
      <c r="E56" t="s">
        <v>24</v>
      </c>
      <c r="F56">
        <v>11</v>
      </c>
      <c r="G56" t="s">
        <v>36</v>
      </c>
      <c r="H56">
        <v>70</v>
      </c>
      <c r="I56">
        <v>12.37</v>
      </c>
      <c r="J56">
        <v>11.04</v>
      </c>
      <c r="K56">
        <v>865.9</v>
      </c>
      <c r="L56">
        <v>772.8</v>
      </c>
      <c r="M56">
        <v>0.10751818916734</v>
      </c>
      <c r="N56">
        <v>10</v>
      </c>
      <c r="O56" t="s">
        <v>18</v>
      </c>
      <c r="P56">
        <v>0.14285714285714299</v>
      </c>
      <c r="Q56">
        <v>93.1</v>
      </c>
    </row>
    <row r="57" spans="1:17" x14ac:dyDescent="0.3">
      <c r="A57" t="s">
        <v>85</v>
      </c>
      <c r="B57" t="s">
        <v>23</v>
      </c>
      <c r="C57" s="1">
        <v>44633</v>
      </c>
      <c r="D57" s="1">
        <v>44635</v>
      </c>
      <c r="E57" t="s">
        <v>29</v>
      </c>
      <c r="F57">
        <v>2</v>
      </c>
      <c r="G57" t="s">
        <v>21</v>
      </c>
      <c r="H57">
        <v>890</v>
      </c>
      <c r="I57">
        <v>98.26</v>
      </c>
      <c r="J57">
        <v>93.14</v>
      </c>
      <c r="K57">
        <v>87451.4</v>
      </c>
      <c r="L57">
        <v>82894.600000000006</v>
      </c>
      <c r="M57">
        <v>5.21066558111134E-2</v>
      </c>
      <c r="N57">
        <v>49</v>
      </c>
      <c r="O57" t="s">
        <v>18</v>
      </c>
      <c r="P57">
        <v>5.5056179775280899E-2</v>
      </c>
      <c r="Q57">
        <v>4556.8</v>
      </c>
    </row>
    <row r="58" spans="1:17" x14ac:dyDescent="0.3">
      <c r="A58" t="s">
        <v>86</v>
      </c>
      <c r="B58" t="s">
        <v>15</v>
      </c>
      <c r="C58" s="1">
        <v>44608</v>
      </c>
      <c r="D58" s="1">
        <v>44624</v>
      </c>
      <c r="E58" t="s">
        <v>24</v>
      </c>
      <c r="F58">
        <v>16</v>
      </c>
      <c r="G58" t="s">
        <v>21</v>
      </c>
      <c r="H58">
        <v>216</v>
      </c>
      <c r="I58">
        <v>13.95</v>
      </c>
      <c r="J58">
        <v>12.31</v>
      </c>
      <c r="K58">
        <v>3013.2</v>
      </c>
      <c r="L58">
        <v>2658.96</v>
      </c>
      <c r="M58">
        <v>0.117562724014337</v>
      </c>
      <c r="N58">
        <v>5</v>
      </c>
      <c r="O58" t="s">
        <v>18</v>
      </c>
      <c r="P58">
        <v>2.3148148148148098E-2</v>
      </c>
      <c r="Q58">
        <v>354.24</v>
      </c>
    </row>
    <row r="59" spans="1:17" x14ac:dyDescent="0.3">
      <c r="A59" t="s">
        <v>87</v>
      </c>
      <c r="B59" t="s">
        <v>20</v>
      </c>
      <c r="C59" s="1">
        <v>45239</v>
      </c>
      <c r="D59" s="1">
        <v>45242</v>
      </c>
      <c r="E59" t="s">
        <v>27</v>
      </c>
      <c r="F59">
        <v>3</v>
      </c>
      <c r="G59" t="s">
        <v>21</v>
      </c>
      <c r="H59">
        <v>1347</v>
      </c>
      <c r="I59">
        <v>100.13</v>
      </c>
      <c r="J59">
        <v>94.3</v>
      </c>
      <c r="K59">
        <v>134875.10999999999</v>
      </c>
      <c r="L59">
        <v>127022.1</v>
      </c>
      <c r="M59">
        <v>5.8224308399081201E-2</v>
      </c>
      <c r="N59">
        <v>200</v>
      </c>
      <c r="O59" t="s">
        <v>18</v>
      </c>
      <c r="P59">
        <v>0.148478099480327</v>
      </c>
      <c r="Q59">
        <v>7853.01</v>
      </c>
    </row>
    <row r="60" spans="1:17" x14ac:dyDescent="0.3">
      <c r="A60" t="s">
        <v>88</v>
      </c>
      <c r="B60" t="s">
        <v>23</v>
      </c>
      <c r="C60" s="1">
        <v>44795</v>
      </c>
      <c r="D60" s="1">
        <v>44798</v>
      </c>
      <c r="E60" t="s">
        <v>16</v>
      </c>
      <c r="F60">
        <v>3</v>
      </c>
      <c r="G60" t="s">
        <v>36</v>
      </c>
      <c r="H60">
        <v>437</v>
      </c>
      <c r="I60">
        <v>59.51</v>
      </c>
      <c r="J60">
        <v>56.45</v>
      </c>
      <c r="K60">
        <v>26005.87</v>
      </c>
      <c r="L60">
        <v>24668.65</v>
      </c>
      <c r="M60">
        <v>5.14199294236262E-2</v>
      </c>
      <c r="N60">
        <v>25</v>
      </c>
      <c r="O60" t="s">
        <v>30</v>
      </c>
      <c r="P60">
        <v>5.7208237986269998E-2</v>
      </c>
      <c r="Q60">
        <v>1337.22</v>
      </c>
    </row>
    <row r="61" spans="1:17" x14ac:dyDescent="0.3">
      <c r="A61" t="s">
        <v>89</v>
      </c>
      <c r="B61" t="s">
        <v>15</v>
      </c>
      <c r="C61" s="1">
        <v>44858</v>
      </c>
      <c r="D61" s="1">
        <v>44860</v>
      </c>
      <c r="E61" t="s">
        <v>42</v>
      </c>
      <c r="F61">
        <v>2</v>
      </c>
      <c r="G61" t="s">
        <v>21</v>
      </c>
      <c r="H61">
        <v>650</v>
      </c>
      <c r="I61">
        <v>103.84</v>
      </c>
      <c r="J61">
        <v>88.28</v>
      </c>
      <c r="K61">
        <v>67496</v>
      </c>
      <c r="L61">
        <v>57382</v>
      </c>
      <c r="M61">
        <v>0.14984591679506901</v>
      </c>
      <c r="N61">
        <v>12</v>
      </c>
      <c r="O61" t="s">
        <v>18</v>
      </c>
      <c r="P61">
        <v>1.8461538461538501E-2</v>
      </c>
      <c r="Q61">
        <v>10114</v>
      </c>
    </row>
    <row r="62" spans="1:17" x14ac:dyDescent="0.3">
      <c r="A62" t="s">
        <v>90</v>
      </c>
      <c r="B62" t="s">
        <v>26</v>
      </c>
      <c r="C62" s="1">
        <v>44643</v>
      </c>
      <c r="D62" s="1">
        <v>44662</v>
      </c>
      <c r="E62" t="s">
        <v>16</v>
      </c>
      <c r="F62">
        <v>19</v>
      </c>
      <c r="G62" t="s">
        <v>21</v>
      </c>
      <c r="H62">
        <v>365</v>
      </c>
      <c r="I62">
        <v>16.809999999999999</v>
      </c>
      <c r="J62">
        <v>15.41</v>
      </c>
      <c r="K62">
        <v>6135.65</v>
      </c>
      <c r="L62">
        <v>5624.65</v>
      </c>
      <c r="M62">
        <v>8.3283759666865007E-2</v>
      </c>
      <c r="N62">
        <v>38</v>
      </c>
      <c r="O62" t="s">
        <v>18</v>
      </c>
      <c r="P62">
        <v>0.104109589041096</v>
      </c>
      <c r="Q62">
        <v>511</v>
      </c>
    </row>
    <row r="63" spans="1:17" x14ac:dyDescent="0.3">
      <c r="A63" t="s">
        <v>91</v>
      </c>
      <c r="B63" t="s">
        <v>15</v>
      </c>
      <c r="C63" s="1">
        <v>44665</v>
      </c>
      <c r="D63" s="1">
        <v>44673</v>
      </c>
      <c r="E63" t="s">
        <v>24</v>
      </c>
      <c r="F63">
        <v>8</v>
      </c>
      <c r="G63" t="s">
        <v>21</v>
      </c>
      <c r="H63">
        <v>291</v>
      </c>
      <c r="I63">
        <v>98.7</v>
      </c>
      <c r="J63">
        <v>87.02</v>
      </c>
      <c r="K63">
        <v>28721.7</v>
      </c>
      <c r="L63">
        <v>25322.82</v>
      </c>
      <c r="M63">
        <v>0.118338399189463</v>
      </c>
      <c r="N63">
        <v>9</v>
      </c>
      <c r="O63" t="s">
        <v>18</v>
      </c>
      <c r="P63">
        <v>3.09278350515464E-2</v>
      </c>
      <c r="Q63">
        <v>3398.88</v>
      </c>
    </row>
    <row r="64" spans="1:17" x14ac:dyDescent="0.3">
      <c r="A64" t="s">
        <v>92</v>
      </c>
      <c r="B64" t="s">
        <v>15</v>
      </c>
      <c r="C64" s="1">
        <v>44951</v>
      </c>
      <c r="D64" s="1">
        <v>44965</v>
      </c>
      <c r="E64" t="s">
        <v>24</v>
      </c>
      <c r="F64">
        <v>14</v>
      </c>
      <c r="G64" t="s">
        <v>17</v>
      </c>
      <c r="H64">
        <v>826</v>
      </c>
      <c r="I64">
        <v>60.5</v>
      </c>
      <c r="J64">
        <v>57.18</v>
      </c>
      <c r="K64">
        <v>49973</v>
      </c>
      <c r="L64">
        <v>47230.68</v>
      </c>
      <c r="M64">
        <v>5.4876033057851201E-2</v>
      </c>
      <c r="N64">
        <v>18</v>
      </c>
      <c r="O64" t="s">
        <v>18</v>
      </c>
      <c r="P64">
        <v>2.17917675544794E-2</v>
      </c>
      <c r="Q64">
        <v>2742.32</v>
      </c>
    </row>
    <row r="65" spans="1:17" x14ac:dyDescent="0.3">
      <c r="A65" t="s">
        <v>93</v>
      </c>
      <c r="B65" t="s">
        <v>20</v>
      </c>
      <c r="C65" s="1">
        <v>44846</v>
      </c>
      <c r="D65" s="1">
        <v>44866</v>
      </c>
      <c r="E65" t="s">
        <v>42</v>
      </c>
      <c r="F65">
        <v>20</v>
      </c>
      <c r="G65" t="s">
        <v>38</v>
      </c>
      <c r="H65">
        <v>1419</v>
      </c>
      <c r="I65">
        <v>69.64</v>
      </c>
      <c r="J65">
        <v>59.28</v>
      </c>
      <c r="K65">
        <v>98819.16</v>
      </c>
      <c r="L65">
        <v>84118.32</v>
      </c>
      <c r="M65">
        <v>0.148765077541643</v>
      </c>
      <c r="N65">
        <v>194</v>
      </c>
      <c r="O65" t="s">
        <v>18</v>
      </c>
      <c r="P65">
        <v>0.13671599718111299</v>
      </c>
      <c r="Q65">
        <v>14700.84</v>
      </c>
    </row>
    <row r="66" spans="1:17" x14ac:dyDescent="0.3">
      <c r="A66" t="s">
        <v>94</v>
      </c>
      <c r="B66" t="s">
        <v>23</v>
      </c>
      <c r="C66" s="1">
        <v>45026</v>
      </c>
      <c r="D66" s="1">
        <v>45043</v>
      </c>
      <c r="E66" t="s">
        <v>16</v>
      </c>
      <c r="F66">
        <v>17</v>
      </c>
      <c r="G66" t="s">
        <v>21</v>
      </c>
      <c r="H66">
        <v>614</v>
      </c>
      <c r="I66">
        <v>78.06</v>
      </c>
      <c r="J66">
        <v>73.95</v>
      </c>
      <c r="K66">
        <v>47928.84</v>
      </c>
      <c r="L66">
        <v>45405.3</v>
      </c>
      <c r="M66">
        <v>5.2651806302844002E-2</v>
      </c>
      <c r="N66">
        <v>40</v>
      </c>
      <c r="O66" t="s">
        <v>18</v>
      </c>
      <c r="P66">
        <v>6.5146579804560303E-2</v>
      </c>
      <c r="Q66">
        <v>2523.54</v>
      </c>
    </row>
    <row r="67" spans="1:17" x14ac:dyDescent="0.3">
      <c r="A67" t="s">
        <v>95</v>
      </c>
      <c r="B67" t="s">
        <v>15</v>
      </c>
      <c r="C67" s="1">
        <v>45212</v>
      </c>
      <c r="D67" s="1">
        <v>45227</v>
      </c>
      <c r="E67" t="s">
        <v>42</v>
      </c>
      <c r="F67">
        <v>15</v>
      </c>
      <c r="G67" t="s">
        <v>21</v>
      </c>
      <c r="H67">
        <v>947</v>
      </c>
      <c r="I67">
        <v>56.25</v>
      </c>
      <c r="J67">
        <v>54.25</v>
      </c>
      <c r="K67">
        <v>53268.75</v>
      </c>
      <c r="L67">
        <v>51374.75</v>
      </c>
      <c r="M67">
        <v>3.5555555555555597E-2</v>
      </c>
      <c r="N67">
        <v>19</v>
      </c>
      <c r="O67" t="s">
        <v>18</v>
      </c>
      <c r="P67">
        <v>2.0063357972544899E-2</v>
      </c>
      <c r="Q67">
        <v>1894</v>
      </c>
    </row>
    <row r="68" spans="1:17" x14ac:dyDescent="0.3">
      <c r="A68" t="s">
        <v>96</v>
      </c>
      <c r="B68" t="s">
        <v>32</v>
      </c>
      <c r="C68" s="1">
        <v>44935</v>
      </c>
      <c r="D68" s="1">
        <v>44954</v>
      </c>
      <c r="E68" t="s">
        <v>29</v>
      </c>
      <c r="F68">
        <v>19</v>
      </c>
      <c r="G68" t="s">
        <v>21</v>
      </c>
      <c r="H68">
        <v>1413</v>
      </c>
      <c r="I68">
        <v>70.47</v>
      </c>
      <c r="J68">
        <v>69.650000000000006</v>
      </c>
      <c r="K68">
        <v>99574.11</v>
      </c>
      <c r="L68">
        <v>98415.45</v>
      </c>
      <c r="M68">
        <v>1.16361572300269E-2</v>
      </c>
      <c r="N68">
        <v>0</v>
      </c>
      <c r="O68" t="s">
        <v>18</v>
      </c>
      <c r="P68">
        <v>0</v>
      </c>
      <c r="Q68">
        <v>1158.6600000000001</v>
      </c>
    </row>
    <row r="69" spans="1:17" x14ac:dyDescent="0.3">
      <c r="A69" t="s">
        <v>97</v>
      </c>
      <c r="B69" t="s">
        <v>15</v>
      </c>
      <c r="C69" s="1">
        <v>44941</v>
      </c>
      <c r="D69" s="1">
        <v>44961</v>
      </c>
      <c r="E69" t="s">
        <v>16</v>
      </c>
      <c r="F69">
        <v>20</v>
      </c>
      <c r="G69" t="s">
        <v>21</v>
      </c>
      <c r="H69">
        <v>1440</v>
      </c>
      <c r="I69">
        <v>96.57</v>
      </c>
      <c r="J69">
        <v>83.87</v>
      </c>
      <c r="K69">
        <v>139060.79999999999</v>
      </c>
      <c r="L69">
        <v>120772.8</v>
      </c>
      <c r="M69">
        <v>0.131510821165994</v>
      </c>
      <c r="N69">
        <v>36</v>
      </c>
      <c r="O69" t="s">
        <v>18</v>
      </c>
      <c r="P69">
        <v>2.5000000000000001E-2</v>
      </c>
      <c r="Q69">
        <v>18288</v>
      </c>
    </row>
    <row r="70" spans="1:17" x14ac:dyDescent="0.3">
      <c r="A70" t="s">
        <v>98</v>
      </c>
      <c r="B70" t="s">
        <v>20</v>
      </c>
      <c r="C70" s="1">
        <v>44925</v>
      </c>
      <c r="D70" s="1">
        <v>44929</v>
      </c>
      <c r="E70" t="s">
        <v>29</v>
      </c>
      <c r="F70">
        <v>4</v>
      </c>
      <c r="G70" t="s">
        <v>21</v>
      </c>
      <c r="H70">
        <v>1005</v>
      </c>
      <c r="I70">
        <v>14.87</v>
      </c>
      <c r="J70">
        <v>12.79</v>
      </c>
      <c r="K70">
        <v>14944.35</v>
      </c>
      <c r="L70">
        <v>12853.95</v>
      </c>
      <c r="M70">
        <v>0.139878950907868</v>
      </c>
      <c r="N70">
        <v>0</v>
      </c>
      <c r="O70" t="s">
        <v>30</v>
      </c>
      <c r="P70">
        <v>0</v>
      </c>
      <c r="Q70">
        <v>2090.4</v>
      </c>
    </row>
    <row r="71" spans="1:17" x14ac:dyDescent="0.3">
      <c r="A71" t="s">
        <v>99</v>
      </c>
      <c r="B71" t="s">
        <v>23</v>
      </c>
      <c r="C71" s="1">
        <v>45248</v>
      </c>
      <c r="D71" s="1">
        <v>45255</v>
      </c>
      <c r="E71" t="s">
        <v>24</v>
      </c>
      <c r="F71">
        <v>7</v>
      </c>
      <c r="G71" t="s">
        <v>21</v>
      </c>
      <c r="H71">
        <v>1501</v>
      </c>
      <c r="I71">
        <v>106.05</v>
      </c>
      <c r="J71">
        <v>100.99</v>
      </c>
      <c r="K71">
        <v>159181.04999999999</v>
      </c>
      <c r="L71">
        <v>151585.99</v>
      </c>
      <c r="M71">
        <v>4.7713342762847701E-2</v>
      </c>
      <c r="N71">
        <v>77</v>
      </c>
      <c r="O71" t="s">
        <v>30</v>
      </c>
      <c r="P71">
        <v>5.12991339107262E-2</v>
      </c>
      <c r="Q71">
        <v>7595.06</v>
      </c>
    </row>
    <row r="72" spans="1:17" x14ac:dyDescent="0.3">
      <c r="A72" t="s">
        <v>100</v>
      </c>
      <c r="B72" t="s">
        <v>20</v>
      </c>
      <c r="C72" s="1">
        <v>44835</v>
      </c>
      <c r="D72" s="1">
        <v>44838</v>
      </c>
      <c r="E72" t="s">
        <v>27</v>
      </c>
      <c r="F72">
        <v>3</v>
      </c>
      <c r="G72" t="s">
        <v>21</v>
      </c>
      <c r="H72">
        <v>558</v>
      </c>
      <c r="I72">
        <v>94.18</v>
      </c>
      <c r="J72">
        <v>81.400000000000006</v>
      </c>
      <c r="K72">
        <v>52552.44</v>
      </c>
      <c r="L72">
        <v>45421.2</v>
      </c>
      <c r="M72">
        <v>0.13569760033977499</v>
      </c>
      <c r="N72">
        <v>0</v>
      </c>
      <c r="O72" t="s">
        <v>30</v>
      </c>
      <c r="P72">
        <v>0</v>
      </c>
      <c r="Q72">
        <v>7131.24</v>
      </c>
    </row>
    <row r="73" spans="1:17" x14ac:dyDescent="0.3">
      <c r="A73" t="s">
        <v>101</v>
      </c>
      <c r="B73" t="s">
        <v>26</v>
      </c>
      <c r="C73" s="1">
        <v>45280</v>
      </c>
      <c r="D73" s="1">
        <v>45286</v>
      </c>
      <c r="E73" t="s">
        <v>24</v>
      </c>
      <c r="F73">
        <v>6</v>
      </c>
      <c r="G73" t="s">
        <v>21</v>
      </c>
      <c r="H73">
        <v>825</v>
      </c>
      <c r="I73">
        <v>56.88</v>
      </c>
      <c r="J73">
        <v>50.84</v>
      </c>
      <c r="K73">
        <v>46926</v>
      </c>
      <c r="L73">
        <v>41943</v>
      </c>
      <c r="M73">
        <v>0.106188466947961</v>
      </c>
      <c r="N73">
        <v>0</v>
      </c>
      <c r="O73" t="s">
        <v>18</v>
      </c>
      <c r="P73">
        <v>0</v>
      </c>
      <c r="Q73">
        <v>4983</v>
      </c>
    </row>
    <row r="74" spans="1:17" x14ac:dyDescent="0.3">
      <c r="A74" t="s">
        <v>102</v>
      </c>
      <c r="B74" t="s">
        <v>26</v>
      </c>
      <c r="C74" s="1">
        <v>45261</v>
      </c>
      <c r="D74" s="1">
        <v>45267</v>
      </c>
      <c r="E74" t="s">
        <v>42</v>
      </c>
      <c r="F74">
        <v>6</v>
      </c>
      <c r="G74" t="s">
        <v>17</v>
      </c>
      <c r="H74">
        <v>84</v>
      </c>
      <c r="I74">
        <v>73.38</v>
      </c>
      <c r="J74">
        <v>71.42</v>
      </c>
      <c r="K74">
        <v>6163.92</v>
      </c>
      <c r="L74">
        <v>5999.28</v>
      </c>
      <c r="M74">
        <v>2.6710275279367701E-2</v>
      </c>
      <c r="N74">
        <v>9</v>
      </c>
      <c r="O74" t="s">
        <v>18</v>
      </c>
      <c r="P74">
        <v>0.107142857142857</v>
      </c>
      <c r="Q74">
        <v>164.64</v>
      </c>
    </row>
    <row r="75" spans="1:17" x14ac:dyDescent="0.3">
      <c r="A75" t="s">
        <v>103</v>
      </c>
      <c r="B75" t="s">
        <v>20</v>
      </c>
      <c r="C75" s="1">
        <v>45225</v>
      </c>
      <c r="D75" s="1">
        <v>45240</v>
      </c>
      <c r="E75" t="s">
        <v>29</v>
      </c>
      <c r="F75">
        <v>15</v>
      </c>
      <c r="G75" t="s">
        <v>21</v>
      </c>
      <c r="H75">
        <v>255</v>
      </c>
      <c r="I75">
        <v>38.64</v>
      </c>
      <c r="J75">
        <v>33.590000000000003</v>
      </c>
      <c r="K75">
        <v>9853.2000000000007</v>
      </c>
      <c r="L75">
        <v>8565.4500000000007</v>
      </c>
      <c r="M75">
        <v>0.130693581780538</v>
      </c>
      <c r="N75">
        <v>27</v>
      </c>
      <c r="O75" t="s">
        <v>30</v>
      </c>
      <c r="P75">
        <v>0.105882352941176</v>
      </c>
      <c r="Q75">
        <v>1287.75</v>
      </c>
    </row>
    <row r="76" spans="1:17" x14ac:dyDescent="0.3">
      <c r="A76" t="s">
        <v>104</v>
      </c>
      <c r="B76" t="s">
        <v>23</v>
      </c>
      <c r="C76" s="1">
        <v>44635</v>
      </c>
      <c r="D76" s="1">
        <v>44651</v>
      </c>
      <c r="E76" t="s">
        <v>24</v>
      </c>
      <c r="F76">
        <v>16</v>
      </c>
      <c r="G76" t="s">
        <v>21</v>
      </c>
      <c r="H76">
        <v>1154</v>
      </c>
      <c r="I76">
        <v>27.2</v>
      </c>
      <c r="J76">
        <v>26.07</v>
      </c>
      <c r="K76">
        <v>31388.799999999999</v>
      </c>
      <c r="L76">
        <v>30084.78</v>
      </c>
      <c r="M76">
        <v>4.1544117647058801E-2</v>
      </c>
      <c r="N76">
        <v>58</v>
      </c>
      <c r="O76" t="s">
        <v>18</v>
      </c>
      <c r="P76">
        <v>5.0259965337954897E-2</v>
      </c>
      <c r="Q76">
        <v>1304.02</v>
      </c>
    </row>
    <row r="77" spans="1:17" x14ac:dyDescent="0.3">
      <c r="A77" t="s">
        <v>105</v>
      </c>
      <c r="B77" t="s">
        <v>20</v>
      </c>
      <c r="C77" s="1">
        <v>45185</v>
      </c>
      <c r="D77" s="1">
        <v>45193</v>
      </c>
      <c r="E77" t="s">
        <v>16</v>
      </c>
      <c r="F77">
        <v>8</v>
      </c>
      <c r="G77" t="s">
        <v>21</v>
      </c>
      <c r="H77">
        <v>1635</v>
      </c>
      <c r="I77">
        <v>56.91</v>
      </c>
      <c r="J77">
        <v>54.37</v>
      </c>
      <c r="K77">
        <v>93047.85</v>
      </c>
      <c r="L77">
        <v>88894.95</v>
      </c>
      <c r="M77">
        <v>4.4631874890177399E-2</v>
      </c>
      <c r="N77">
        <v>262</v>
      </c>
      <c r="O77" t="s">
        <v>30</v>
      </c>
      <c r="P77">
        <v>0.160244648318043</v>
      </c>
      <c r="Q77">
        <v>4152.8999999999996</v>
      </c>
    </row>
    <row r="78" spans="1:17" x14ac:dyDescent="0.3">
      <c r="A78" t="s">
        <v>106</v>
      </c>
      <c r="B78" t="s">
        <v>20</v>
      </c>
      <c r="C78" s="1">
        <v>45212</v>
      </c>
      <c r="D78" s="1">
        <v>45222</v>
      </c>
      <c r="E78" t="s">
        <v>29</v>
      </c>
      <c r="F78">
        <v>10</v>
      </c>
      <c r="G78" t="s">
        <v>21</v>
      </c>
      <c r="H78">
        <v>1945</v>
      </c>
      <c r="I78">
        <v>46.19</v>
      </c>
      <c r="J78">
        <v>40.119999999999997</v>
      </c>
      <c r="K78">
        <v>89839.55</v>
      </c>
      <c r="L78">
        <v>78033.399999999994</v>
      </c>
      <c r="M78">
        <v>0.13141372591469999</v>
      </c>
      <c r="N78">
        <v>278</v>
      </c>
      <c r="O78" t="s">
        <v>30</v>
      </c>
      <c r="P78">
        <v>0.14293059125964</v>
      </c>
      <c r="Q78">
        <v>11806.15</v>
      </c>
    </row>
    <row r="79" spans="1:17" x14ac:dyDescent="0.3">
      <c r="A79" t="s">
        <v>107</v>
      </c>
      <c r="B79" t="s">
        <v>20</v>
      </c>
      <c r="C79" s="1">
        <v>44737</v>
      </c>
      <c r="D79" s="1">
        <v>44752</v>
      </c>
      <c r="E79" t="s">
        <v>24</v>
      </c>
      <c r="F79">
        <v>15</v>
      </c>
      <c r="G79" t="s">
        <v>36</v>
      </c>
      <c r="H79">
        <v>1461</v>
      </c>
      <c r="I79">
        <v>64.09</v>
      </c>
      <c r="J79">
        <v>63.39</v>
      </c>
      <c r="K79">
        <v>93635.49</v>
      </c>
      <c r="L79">
        <v>92612.79</v>
      </c>
      <c r="M79">
        <v>1.09221407395851E-2</v>
      </c>
      <c r="N79">
        <v>228</v>
      </c>
      <c r="O79" t="s">
        <v>30</v>
      </c>
      <c r="P79">
        <v>0.15605749486653001</v>
      </c>
      <c r="Q79">
        <v>1022.7</v>
      </c>
    </row>
    <row r="80" spans="1:17" x14ac:dyDescent="0.3">
      <c r="A80" t="s">
        <v>108</v>
      </c>
      <c r="B80" t="s">
        <v>20</v>
      </c>
      <c r="C80" s="1">
        <v>45108</v>
      </c>
      <c r="D80" s="1">
        <v>45116</v>
      </c>
      <c r="E80" t="s">
        <v>42</v>
      </c>
      <c r="F80">
        <v>8</v>
      </c>
      <c r="G80" t="s">
        <v>21</v>
      </c>
      <c r="H80">
        <v>1075</v>
      </c>
      <c r="I80">
        <v>18.53</v>
      </c>
      <c r="J80">
        <v>16.12</v>
      </c>
      <c r="K80">
        <v>19919.75</v>
      </c>
      <c r="L80">
        <v>17329</v>
      </c>
      <c r="M80">
        <v>0.13005936319481901</v>
      </c>
      <c r="N80">
        <v>147</v>
      </c>
      <c r="O80" t="s">
        <v>18</v>
      </c>
      <c r="P80">
        <v>0.13674418604651201</v>
      </c>
      <c r="Q80">
        <v>2590.75</v>
      </c>
    </row>
    <row r="81" spans="1:17" x14ac:dyDescent="0.3">
      <c r="A81" t="s">
        <v>109</v>
      </c>
      <c r="B81" t="s">
        <v>32</v>
      </c>
      <c r="C81" s="1">
        <v>44729</v>
      </c>
      <c r="D81" s="1">
        <v>44748</v>
      </c>
      <c r="E81" t="s">
        <v>27</v>
      </c>
      <c r="F81">
        <v>19</v>
      </c>
      <c r="G81" t="s">
        <v>38</v>
      </c>
      <c r="H81">
        <v>1463</v>
      </c>
      <c r="I81">
        <v>101.23</v>
      </c>
      <c r="J81">
        <v>86.17</v>
      </c>
      <c r="K81">
        <v>148099.49</v>
      </c>
      <c r="L81">
        <v>126066.71</v>
      </c>
      <c r="M81">
        <v>0.148770127432579</v>
      </c>
      <c r="N81">
        <v>43</v>
      </c>
      <c r="O81" t="s">
        <v>18</v>
      </c>
      <c r="P81">
        <v>2.9391660970608299E-2</v>
      </c>
      <c r="Q81">
        <v>22032.78</v>
      </c>
    </row>
    <row r="82" spans="1:17" x14ac:dyDescent="0.3">
      <c r="A82" t="s">
        <v>110</v>
      </c>
      <c r="B82" t="s">
        <v>26</v>
      </c>
      <c r="C82" s="1">
        <v>45035</v>
      </c>
      <c r="D82" s="1">
        <v>45042</v>
      </c>
      <c r="E82" t="s">
        <v>29</v>
      </c>
      <c r="F82">
        <v>7</v>
      </c>
      <c r="G82" t="s">
        <v>21</v>
      </c>
      <c r="H82">
        <v>615</v>
      </c>
      <c r="I82">
        <v>78.3</v>
      </c>
      <c r="J82">
        <v>73.680000000000007</v>
      </c>
      <c r="K82">
        <v>48154.5</v>
      </c>
      <c r="L82">
        <v>45313.2</v>
      </c>
      <c r="M82">
        <v>5.90038314176244E-2</v>
      </c>
      <c r="N82">
        <v>69</v>
      </c>
      <c r="O82" t="s">
        <v>18</v>
      </c>
      <c r="P82">
        <v>0.11219512195122</v>
      </c>
      <c r="Q82">
        <v>2841.3</v>
      </c>
    </row>
    <row r="83" spans="1:17" x14ac:dyDescent="0.3">
      <c r="A83" t="s">
        <v>111</v>
      </c>
      <c r="B83" t="s">
        <v>23</v>
      </c>
      <c r="C83" s="1">
        <v>44950</v>
      </c>
      <c r="D83" s="1">
        <v>44968</v>
      </c>
      <c r="E83" t="s">
        <v>42</v>
      </c>
      <c r="F83">
        <v>18</v>
      </c>
      <c r="G83" t="s">
        <v>21</v>
      </c>
      <c r="H83">
        <v>1179</v>
      </c>
      <c r="I83">
        <v>61.74</v>
      </c>
      <c r="J83">
        <v>56.28</v>
      </c>
      <c r="K83">
        <v>72791.460000000006</v>
      </c>
      <c r="L83">
        <v>66354.12</v>
      </c>
      <c r="M83">
        <v>8.8435374149660004E-2</v>
      </c>
      <c r="N83">
        <v>0</v>
      </c>
      <c r="O83" t="s">
        <v>18</v>
      </c>
      <c r="P83">
        <v>0</v>
      </c>
      <c r="Q83">
        <v>6437.34</v>
      </c>
    </row>
    <row r="84" spans="1:17" x14ac:dyDescent="0.3">
      <c r="A84" t="s">
        <v>112</v>
      </c>
      <c r="B84" t="s">
        <v>15</v>
      </c>
      <c r="C84" s="1">
        <v>44838</v>
      </c>
      <c r="D84" s="1">
        <v>44843</v>
      </c>
      <c r="E84" t="s">
        <v>42</v>
      </c>
      <c r="F84">
        <v>5</v>
      </c>
      <c r="G84" t="s">
        <v>36</v>
      </c>
      <c r="H84">
        <v>1845</v>
      </c>
      <c r="I84">
        <v>39.56</v>
      </c>
      <c r="J84">
        <v>37.630000000000003</v>
      </c>
      <c r="K84">
        <v>72988.2</v>
      </c>
      <c r="L84">
        <v>69427.350000000006</v>
      </c>
      <c r="M84">
        <v>4.8786653185035299E-2</v>
      </c>
      <c r="N84">
        <v>45</v>
      </c>
      <c r="O84" t="s">
        <v>18</v>
      </c>
      <c r="P84">
        <v>2.4390243902439001E-2</v>
      </c>
      <c r="Q84">
        <v>3560.85</v>
      </c>
    </row>
    <row r="85" spans="1:17" x14ac:dyDescent="0.3">
      <c r="A85" t="s">
        <v>113</v>
      </c>
      <c r="B85" t="s">
        <v>32</v>
      </c>
      <c r="C85" s="1">
        <v>45266</v>
      </c>
      <c r="D85" s="1">
        <v>45269</v>
      </c>
      <c r="E85" t="s">
        <v>24</v>
      </c>
      <c r="F85">
        <v>3</v>
      </c>
      <c r="G85" t="s">
        <v>36</v>
      </c>
      <c r="H85">
        <v>1550</v>
      </c>
      <c r="I85">
        <v>79.86</v>
      </c>
      <c r="J85">
        <v>69.569999999999993</v>
      </c>
      <c r="K85">
        <v>123783</v>
      </c>
      <c r="L85">
        <v>107833.5</v>
      </c>
      <c r="M85">
        <v>0.12885048835462101</v>
      </c>
      <c r="N85">
        <v>32</v>
      </c>
      <c r="O85" t="s">
        <v>30</v>
      </c>
      <c r="P85">
        <v>2.0645161290322601E-2</v>
      </c>
      <c r="Q85">
        <v>15949.5</v>
      </c>
    </row>
    <row r="86" spans="1:17" x14ac:dyDescent="0.3">
      <c r="A86" t="s">
        <v>114</v>
      </c>
      <c r="B86" t="s">
        <v>20</v>
      </c>
      <c r="C86" s="1">
        <v>45132</v>
      </c>
      <c r="D86" s="1">
        <v>45142</v>
      </c>
      <c r="E86" t="s">
        <v>27</v>
      </c>
      <c r="F86">
        <v>10</v>
      </c>
      <c r="G86" t="s">
        <v>21</v>
      </c>
      <c r="H86">
        <v>752</v>
      </c>
      <c r="I86">
        <v>26.85</v>
      </c>
      <c r="J86">
        <v>24.37</v>
      </c>
      <c r="K86">
        <v>20191.2</v>
      </c>
      <c r="L86">
        <v>18326.240000000002</v>
      </c>
      <c r="M86">
        <v>9.2364990689012993E-2</v>
      </c>
      <c r="N86">
        <v>0</v>
      </c>
      <c r="O86" t="s">
        <v>30</v>
      </c>
      <c r="P86">
        <v>0</v>
      </c>
      <c r="Q86">
        <v>1864.96</v>
      </c>
    </row>
    <row r="87" spans="1:17" x14ac:dyDescent="0.3">
      <c r="A87" t="s">
        <v>115</v>
      </c>
      <c r="B87" t="s">
        <v>32</v>
      </c>
      <c r="C87" s="1">
        <v>44786</v>
      </c>
      <c r="D87" s="1">
        <v>44805</v>
      </c>
      <c r="E87" t="s">
        <v>42</v>
      </c>
      <c r="F87">
        <v>19</v>
      </c>
      <c r="G87" t="s">
        <v>21</v>
      </c>
      <c r="H87">
        <v>451</v>
      </c>
      <c r="I87">
        <v>95.2</v>
      </c>
      <c r="J87">
        <v>90.07</v>
      </c>
      <c r="K87">
        <v>42935.199999999997</v>
      </c>
      <c r="L87">
        <v>40621.57</v>
      </c>
      <c r="M87">
        <v>5.3886554621848798E-2</v>
      </c>
      <c r="N87">
        <v>21</v>
      </c>
      <c r="O87" t="s">
        <v>18</v>
      </c>
      <c r="P87">
        <v>4.6563192904656298E-2</v>
      </c>
      <c r="Q87">
        <v>2313.63</v>
      </c>
    </row>
    <row r="88" spans="1:17" x14ac:dyDescent="0.3">
      <c r="A88" t="s">
        <v>116</v>
      </c>
      <c r="B88" t="s">
        <v>26</v>
      </c>
      <c r="C88" s="1">
        <v>44894</v>
      </c>
      <c r="D88" s="1">
        <v>44909</v>
      </c>
      <c r="E88" t="s">
        <v>24</v>
      </c>
      <c r="F88">
        <v>15</v>
      </c>
      <c r="G88" t="s">
        <v>38</v>
      </c>
      <c r="H88">
        <v>1629</v>
      </c>
      <c r="I88">
        <v>100.26</v>
      </c>
      <c r="J88">
        <v>86.44</v>
      </c>
      <c r="K88">
        <v>163323.54</v>
      </c>
      <c r="L88">
        <v>140810.76</v>
      </c>
      <c r="M88">
        <v>0.13784161180929599</v>
      </c>
      <c r="N88">
        <v>187</v>
      </c>
      <c r="O88" t="s">
        <v>30</v>
      </c>
      <c r="P88">
        <v>0.114794352363413</v>
      </c>
      <c r="Q88">
        <v>22512.78</v>
      </c>
    </row>
    <row r="89" spans="1:17" x14ac:dyDescent="0.3">
      <c r="A89" t="s">
        <v>117</v>
      </c>
      <c r="B89" t="s">
        <v>15</v>
      </c>
      <c r="C89" s="1">
        <v>44619</v>
      </c>
      <c r="D89" s="1">
        <v>44614</v>
      </c>
      <c r="E89" t="s">
        <v>16</v>
      </c>
      <c r="F89">
        <v>-5</v>
      </c>
      <c r="G89" t="s">
        <v>21</v>
      </c>
      <c r="H89">
        <v>211</v>
      </c>
      <c r="I89">
        <v>75.69</v>
      </c>
      <c r="J89">
        <v>65.400000000000006</v>
      </c>
      <c r="K89">
        <v>15970.59</v>
      </c>
      <c r="L89">
        <v>13799.4</v>
      </c>
      <c r="M89">
        <v>0.13594926674593699</v>
      </c>
      <c r="N89">
        <v>2</v>
      </c>
      <c r="O89" t="s">
        <v>18</v>
      </c>
      <c r="P89">
        <v>9.4786729857819895E-3</v>
      </c>
      <c r="Q89">
        <v>2171.19</v>
      </c>
    </row>
    <row r="90" spans="1:17" x14ac:dyDescent="0.3">
      <c r="A90" t="s">
        <v>118</v>
      </c>
      <c r="B90" t="s">
        <v>23</v>
      </c>
      <c r="C90" s="1">
        <v>44594</v>
      </c>
      <c r="D90" s="1">
        <v>44610</v>
      </c>
      <c r="E90" t="s">
        <v>29</v>
      </c>
      <c r="F90">
        <v>16</v>
      </c>
      <c r="G90" t="s">
        <v>21</v>
      </c>
      <c r="H90">
        <v>1045</v>
      </c>
      <c r="I90">
        <v>47.88</v>
      </c>
      <c r="J90">
        <v>44.65</v>
      </c>
      <c r="K90">
        <v>50034.6</v>
      </c>
      <c r="L90">
        <v>46659.25</v>
      </c>
      <c r="M90">
        <v>6.7460317460317595E-2</v>
      </c>
      <c r="N90">
        <v>69</v>
      </c>
      <c r="O90" t="s">
        <v>18</v>
      </c>
      <c r="P90">
        <v>6.6028708133971298E-2</v>
      </c>
      <c r="Q90">
        <v>3375.35</v>
      </c>
    </row>
    <row r="91" spans="1:17" x14ac:dyDescent="0.3">
      <c r="A91" t="s">
        <v>119</v>
      </c>
      <c r="B91" t="s">
        <v>20</v>
      </c>
      <c r="C91" s="1">
        <v>44885</v>
      </c>
      <c r="D91" s="1">
        <v>44905</v>
      </c>
      <c r="E91" t="s">
        <v>24</v>
      </c>
      <c r="F91">
        <v>20</v>
      </c>
      <c r="G91" t="s">
        <v>21</v>
      </c>
      <c r="H91">
        <v>319</v>
      </c>
      <c r="I91">
        <v>98.64</v>
      </c>
      <c r="J91">
        <v>89.15</v>
      </c>
      <c r="K91">
        <v>31466.16</v>
      </c>
      <c r="L91">
        <v>28438.85</v>
      </c>
      <c r="M91">
        <v>9.6208434712084304E-2</v>
      </c>
      <c r="N91">
        <v>57</v>
      </c>
      <c r="O91" t="s">
        <v>18</v>
      </c>
      <c r="P91">
        <v>0.17868338557993699</v>
      </c>
      <c r="Q91">
        <v>3027.31</v>
      </c>
    </row>
    <row r="92" spans="1:17" x14ac:dyDescent="0.3">
      <c r="A92" t="s">
        <v>120</v>
      </c>
      <c r="B92" t="s">
        <v>32</v>
      </c>
      <c r="C92" s="1">
        <v>44972</v>
      </c>
      <c r="D92" s="1">
        <v>44986</v>
      </c>
      <c r="E92" t="s">
        <v>16</v>
      </c>
      <c r="F92">
        <v>14</v>
      </c>
      <c r="G92" t="s">
        <v>36</v>
      </c>
      <c r="H92">
        <v>1936</v>
      </c>
      <c r="I92">
        <v>93.66</v>
      </c>
      <c r="J92">
        <v>92.24</v>
      </c>
      <c r="K92">
        <v>181325.76</v>
      </c>
      <c r="L92">
        <v>178576.64000000001</v>
      </c>
      <c r="M92">
        <v>1.51612214392483E-2</v>
      </c>
      <c r="N92">
        <v>58</v>
      </c>
      <c r="O92" t="s">
        <v>18</v>
      </c>
      <c r="P92">
        <v>2.99586776859504E-2</v>
      </c>
      <c r="Q92">
        <v>2749.12</v>
      </c>
    </row>
    <row r="93" spans="1:17" x14ac:dyDescent="0.3">
      <c r="A93" t="s">
        <v>121</v>
      </c>
      <c r="B93" t="s">
        <v>20</v>
      </c>
      <c r="C93" s="1">
        <v>44836</v>
      </c>
      <c r="D93" s="1">
        <v>44856</v>
      </c>
      <c r="E93" t="s">
        <v>24</v>
      </c>
      <c r="F93">
        <v>20</v>
      </c>
      <c r="G93" t="s">
        <v>17</v>
      </c>
      <c r="H93">
        <v>865</v>
      </c>
      <c r="I93">
        <v>14.7</v>
      </c>
      <c r="J93">
        <v>13.14</v>
      </c>
      <c r="K93">
        <v>12715.5</v>
      </c>
      <c r="L93">
        <v>11366.1</v>
      </c>
      <c r="M93">
        <v>0.106122448979592</v>
      </c>
      <c r="N93">
        <v>135</v>
      </c>
      <c r="O93" t="s">
        <v>30</v>
      </c>
      <c r="P93">
        <v>0.15606936416184999</v>
      </c>
      <c r="Q93">
        <v>1349.4</v>
      </c>
    </row>
    <row r="94" spans="1:17" x14ac:dyDescent="0.3">
      <c r="A94" t="s">
        <v>122</v>
      </c>
      <c r="B94" t="s">
        <v>32</v>
      </c>
      <c r="C94" s="1">
        <v>44629</v>
      </c>
      <c r="D94" s="1">
        <v>44632</v>
      </c>
      <c r="E94" t="s">
        <v>42</v>
      </c>
      <c r="F94">
        <v>3</v>
      </c>
      <c r="G94" t="s">
        <v>21</v>
      </c>
      <c r="H94">
        <v>1344</v>
      </c>
      <c r="I94">
        <v>12.5</v>
      </c>
      <c r="J94">
        <v>10.87</v>
      </c>
      <c r="K94">
        <v>16800</v>
      </c>
      <c r="L94">
        <v>14609.28</v>
      </c>
      <c r="M94">
        <v>0.13039999999999999</v>
      </c>
      <c r="N94">
        <v>44</v>
      </c>
      <c r="O94" t="s">
        <v>18</v>
      </c>
      <c r="P94">
        <v>3.2738095238095198E-2</v>
      </c>
      <c r="Q94">
        <v>2190.7199999999998</v>
      </c>
    </row>
    <row r="95" spans="1:17" x14ac:dyDescent="0.3">
      <c r="A95" t="s">
        <v>123</v>
      </c>
      <c r="B95" t="s">
        <v>20</v>
      </c>
      <c r="C95" s="1">
        <v>44778</v>
      </c>
      <c r="D95" s="1">
        <v>44797</v>
      </c>
      <c r="E95" t="s">
        <v>29</v>
      </c>
      <c r="F95">
        <v>19</v>
      </c>
      <c r="G95" t="s">
        <v>38</v>
      </c>
      <c r="H95">
        <v>505</v>
      </c>
      <c r="I95">
        <v>45.42</v>
      </c>
      <c r="J95">
        <v>40.369999999999997</v>
      </c>
      <c r="K95">
        <v>22937.1</v>
      </c>
      <c r="L95">
        <v>20386.849999999999</v>
      </c>
      <c r="M95">
        <v>0.111184500220167</v>
      </c>
      <c r="N95">
        <v>62</v>
      </c>
      <c r="O95" t="s">
        <v>18</v>
      </c>
      <c r="P95">
        <v>0.12277227722772301</v>
      </c>
      <c r="Q95">
        <v>2550.25</v>
      </c>
    </row>
    <row r="96" spans="1:17" x14ac:dyDescent="0.3">
      <c r="A96" t="s">
        <v>124</v>
      </c>
      <c r="B96" t="s">
        <v>26</v>
      </c>
      <c r="C96" s="1">
        <v>45142</v>
      </c>
      <c r="D96" s="1">
        <v>45143</v>
      </c>
      <c r="E96" t="s">
        <v>27</v>
      </c>
      <c r="F96">
        <v>1</v>
      </c>
      <c r="G96" t="s">
        <v>21</v>
      </c>
      <c r="H96">
        <v>1535</v>
      </c>
      <c r="I96">
        <v>90.83</v>
      </c>
      <c r="J96">
        <v>78.28</v>
      </c>
      <c r="K96">
        <v>139424.04999999999</v>
      </c>
      <c r="L96">
        <v>120159.8</v>
      </c>
      <c r="M96">
        <v>0.13817020808103</v>
      </c>
      <c r="N96">
        <v>151</v>
      </c>
      <c r="O96" t="s">
        <v>30</v>
      </c>
      <c r="P96">
        <v>9.8371335504885998E-2</v>
      </c>
      <c r="Q96">
        <v>19264.25</v>
      </c>
    </row>
    <row r="97" spans="1:17" x14ac:dyDescent="0.3">
      <c r="A97" t="s">
        <v>125</v>
      </c>
      <c r="B97" t="s">
        <v>20</v>
      </c>
      <c r="C97" s="1">
        <v>44779</v>
      </c>
      <c r="D97" s="1">
        <v>44788</v>
      </c>
      <c r="E97" t="s">
        <v>29</v>
      </c>
      <c r="F97">
        <v>9</v>
      </c>
      <c r="G97" t="s">
        <v>38</v>
      </c>
      <c r="H97">
        <v>1325</v>
      </c>
      <c r="I97">
        <v>24.36</v>
      </c>
      <c r="J97">
        <v>22.75</v>
      </c>
      <c r="K97">
        <v>32277</v>
      </c>
      <c r="L97">
        <v>30143.75</v>
      </c>
      <c r="M97">
        <v>6.6091954022988494E-2</v>
      </c>
      <c r="N97">
        <v>206</v>
      </c>
      <c r="O97" t="s">
        <v>18</v>
      </c>
      <c r="P97">
        <v>0.15547169811320799</v>
      </c>
      <c r="Q97">
        <v>2133.25</v>
      </c>
    </row>
    <row r="98" spans="1:17" x14ac:dyDescent="0.3">
      <c r="A98" t="s">
        <v>126</v>
      </c>
      <c r="B98" t="s">
        <v>23</v>
      </c>
      <c r="C98" s="1">
        <v>45233</v>
      </c>
      <c r="D98" s="1">
        <v>45239</v>
      </c>
      <c r="E98" t="s">
        <v>29</v>
      </c>
      <c r="F98">
        <v>6</v>
      </c>
      <c r="G98" t="s">
        <v>21</v>
      </c>
      <c r="H98">
        <v>1066</v>
      </c>
      <c r="I98">
        <v>70.45</v>
      </c>
      <c r="J98">
        <v>65.88</v>
      </c>
      <c r="K98">
        <v>75099.7</v>
      </c>
      <c r="L98">
        <v>70228.08</v>
      </c>
      <c r="M98">
        <v>6.4868701206529406E-2</v>
      </c>
      <c r="N98">
        <v>56</v>
      </c>
      <c r="O98" t="s">
        <v>30</v>
      </c>
      <c r="P98">
        <v>5.2532833020637902E-2</v>
      </c>
      <c r="Q98">
        <v>4871.62</v>
      </c>
    </row>
    <row r="99" spans="1:17" x14ac:dyDescent="0.3">
      <c r="A99" t="s">
        <v>127</v>
      </c>
      <c r="B99" t="s">
        <v>26</v>
      </c>
      <c r="C99" s="1">
        <v>45073</v>
      </c>
      <c r="D99" s="1">
        <v>45088</v>
      </c>
      <c r="E99" t="s">
        <v>29</v>
      </c>
      <c r="F99">
        <v>15</v>
      </c>
      <c r="G99" t="s">
        <v>21</v>
      </c>
      <c r="H99">
        <v>1775</v>
      </c>
      <c r="I99">
        <v>47.82</v>
      </c>
      <c r="J99">
        <v>45.86</v>
      </c>
      <c r="K99">
        <v>84880.5</v>
      </c>
      <c r="L99">
        <v>81401.5</v>
      </c>
      <c r="M99">
        <v>4.0987034713509E-2</v>
      </c>
      <c r="N99">
        <v>180</v>
      </c>
      <c r="O99" t="s">
        <v>18</v>
      </c>
      <c r="P99">
        <v>0.10140845070422499</v>
      </c>
      <c r="Q99">
        <v>3479</v>
      </c>
    </row>
    <row r="100" spans="1:17" x14ac:dyDescent="0.3">
      <c r="A100" t="s">
        <v>128</v>
      </c>
      <c r="B100" t="s">
        <v>26</v>
      </c>
      <c r="C100" s="1">
        <v>45220</v>
      </c>
      <c r="D100" s="1">
        <v>45239</v>
      </c>
      <c r="E100" t="s">
        <v>42</v>
      </c>
      <c r="F100">
        <v>19</v>
      </c>
      <c r="G100" t="s">
        <v>21</v>
      </c>
      <c r="H100">
        <v>1798</v>
      </c>
      <c r="I100">
        <v>94.8</v>
      </c>
      <c r="J100">
        <v>91.83</v>
      </c>
      <c r="K100">
        <v>170450.4</v>
      </c>
      <c r="L100">
        <v>165110.34</v>
      </c>
      <c r="M100">
        <v>3.1329113924050599E-2</v>
      </c>
      <c r="N100">
        <v>0</v>
      </c>
      <c r="O100" t="s">
        <v>18</v>
      </c>
      <c r="P100">
        <v>0</v>
      </c>
      <c r="Q100">
        <v>5340.06</v>
      </c>
    </row>
    <row r="101" spans="1:17" x14ac:dyDescent="0.3">
      <c r="A101" t="s">
        <v>129</v>
      </c>
      <c r="B101" t="s">
        <v>15</v>
      </c>
      <c r="C101" s="1">
        <v>45031</v>
      </c>
      <c r="D101" s="1">
        <v>45047</v>
      </c>
      <c r="E101" t="s">
        <v>24</v>
      </c>
      <c r="F101">
        <v>16</v>
      </c>
      <c r="G101" t="s">
        <v>21</v>
      </c>
      <c r="H101">
        <v>769</v>
      </c>
      <c r="I101">
        <v>91.86</v>
      </c>
      <c r="J101">
        <v>86.55</v>
      </c>
      <c r="K101">
        <v>70640.34</v>
      </c>
      <c r="L101">
        <v>66556.95</v>
      </c>
      <c r="M101">
        <v>5.7805355976485999E-2</v>
      </c>
      <c r="N101">
        <v>17</v>
      </c>
      <c r="O101" t="s">
        <v>18</v>
      </c>
      <c r="P101">
        <v>2.2106631989596899E-2</v>
      </c>
      <c r="Q101">
        <v>4083.39</v>
      </c>
    </row>
    <row r="102" spans="1:17" x14ac:dyDescent="0.3">
      <c r="A102" t="s">
        <v>130</v>
      </c>
      <c r="B102" t="s">
        <v>20</v>
      </c>
      <c r="C102" s="1">
        <v>44833</v>
      </c>
      <c r="D102" s="1">
        <v>44847</v>
      </c>
      <c r="E102" t="s">
        <v>27</v>
      </c>
      <c r="F102">
        <v>14</v>
      </c>
      <c r="G102" t="s">
        <v>21</v>
      </c>
      <c r="H102">
        <v>387</v>
      </c>
      <c r="I102">
        <v>49.23</v>
      </c>
      <c r="J102">
        <v>45.41</v>
      </c>
      <c r="K102">
        <v>19052.009999999998</v>
      </c>
      <c r="L102">
        <v>17573.669999999998</v>
      </c>
      <c r="M102">
        <v>7.75949624212878E-2</v>
      </c>
      <c r="N102">
        <v>61</v>
      </c>
      <c r="O102" t="s">
        <v>18</v>
      </c>
      <c r="P102">
        <v>0.15762273901808799</v>
      </c>
      <c r="Q102">
        <v>1478.34</v>
      </c>
    </row>
    <row r="103" spans="1:17" x14ac:dyDescent="0.3">
      <c r="A103" t="s">
        <v>131</v>
      </c>
      <c r="B103" t="s">
        <v>32</v>
      </c>
      <c r="C103" s="1">
        <v>44704</v>
      </c>
      <c r="D103" s="1">
        <v>44708</v>
      </c>
      <c r="E103" t="s">
        <v>24</v>
      </c>
      <c r="F103">
        <v>4</v>
      </c>
      <c r="G103" t="s">
        <v>21</v>
      </c>
      <c r="H103">
        <v>928</v>
      </c>
      <c r="I103">
        <v>35.299999999999997</v>
      </c>
      <c r="J103">
        <v>32.520000000000003</v>
      </c>
      <c r="K103">
        <v>32758.400000000001</v>
      </c>
      <c r="L103">
        <v>30178.560000000001</v>
      </c>
      <c r="M103">
        <v>7.8753541076487105E-2</v>
      </c>
      <c r="N103">
        <v>26</v>
      </c>
      <c r="O103" t="s">
        <v>18</v>
      </c>
      <c r="P103">
        <v>2.80172413793103E-2</v>
      </c>
      <c r="Q103">
        <v>2579.84</v>
      </c>
    </row>
    <row r="104" spans="1:17" x14ac:dyDescent="0.3">
      <c r="A104" t="s">
        <v>132</v>
      </c>
      <c r="B104" t="s">
        <v>15</v>
      </c>
      <c r="C104" s="1">
        <v>44814</v>
      </c>
      <c r="D104" s="1">
        <v>44825</v>
      </c>
      <c r="E104" t="s">
        <v>27</v>
      </c>
      <c r="F104">
        <v>11</v>
      </c>
      <c r="G104" t="s">
        <v>36</v>
      </c>
      <c r="H104">
        <v>1126</v>
      </c>
      <c r="I104">
        <v>15.68</v>
      </c>
      <c r="J104">
        <v>14.97</v>
      </c>
      <c r="K104">
        <v>17655.68</v>
      </c>
      <c r="L104">
        <v>16856.22</v>
      </c>
      <c r="M104">
        <v>4.5280612244897898E-2</v>
      </c>
      <c r="N104">
        <v>27</v>
      </c>
      <c r="O104" t="s">
        <v>18</v>
      </c>
      <c r="P104">
        <v>2.3978685612788601E-2</v>
      </c>
      <c r="Q104">
        <v>799.46</v>
      </c>
    </row>
    <row r="105" spans="1:17" x14ac:dyDescent="0.3">
      <c r="A105" t="s">
        <v>133</v>
      </c>
      <c r="B105" t="s">
        <v>26</v>
      </c>
      <c r="C105" s="1">
        <v>45136</v>
      </c>
      <c r="D105" s="1">
        <v>45152</v>
      </c>
      <c r="E105" t="s">
        <v>29</v>
      </c>
      <c r="F105">
        <v>16</v>
      </c>
      <c r="G105" t="s">
        <v>17</v>
      </c>
      <c r="H105">
        <v>841</v>
      </c>
      <c r="I105">
        <v>95.73</v>
      </c>
      <c r="J105">
        <v>85.33</v>
      </c>
      <c r="K105">
        <v>80508.929999999993</v>
      </c>
      <c r="L105">
        <v>71762.53</v>
      </c>
      <c r="M105">
        <v>0.108638880183851</v>
      </c>
      <c r="N105">
        <v>81</v>
      </c>
      <c r="O105" t="s">
        <v>18</v>
      </c>
      <c r="P105">
        <v>9.6313912009512503E-2</v>
      </c>
      <c r="Q105">
        <v>8746.4</v>
      </c>
    </row>
    <row r="106" spans="1:17" x14ac:dyDescent="0.3">
      <c r="A106" t="s">
        <v>134</v>
      </c>
      <c r="B106" t="s">
        <v>26</v>
      </c>
      <c r="C106" s="1">
        <v>45113</v>
      </c>
      <c r="D106" s="1">
        <v>45126</v>
      </c>
      <c r="E106" t="s">
        <v>42</v>
      </c>
      <c r="F106">
        <v>13</v>
      </c>
      <c r="G106" t="s">
        <v>21</v>
      </c>
      <c r="H106">
        <v>1995</v>
      </c>
      <c r="I106">
        <v>90.65</v>
      </c>
      <c r="J106">
        <v>77.75</v>
      </c>
      <c r="K106">
        <v>180846.75</v>
      </c>
      <c r="L106">
        <v>155111.25</v>
      </c>
      <c r="M106">
        <v>0.14230557087699899</v>
      </c>
      <c r="N106">
        <v>206</v>
      </c>
      <c r="O106" t="s">
        <v>18</v>
      </c>
      <c r="P106">
        <v>0.10325814536340901</v>
      </c>
      <c r="Q106">
        <v>25735.5</v>
      </c>
    </row>
    <row r="107" spans="1:17" x14ac:dyDescent="0.3">
      <c r="A107" t="s">
        <v>135</v>
      </c>
      <c r="B107" t="s">
        <v>15</v>
      </c>
      <c r="C107" s="1">
        <v>44831</v>
      </c>
      <c r="D107" s="1">
        <v>44849</v>
      </c>
      <c r="E107" t="s">
        <v>29</v>
      </c>
      <c r="F107">
        <v>18</v>
      </c>
      <c r="G107" t="s">
        <v>21</v>
      </c>
      <c r="H107">
        <v>266</v>
      </c>
      <c r="I107">
        <v>103.97</v>
      </c>
      <c r="J107">
        <v>101.44</v>
      </c>
      <c r="K107">
        <v>27656.02</v>
      </c>
      <c r="L107">
        <v>26983.040000000001</v>
      </c>
      <c r="M107">
        <v>2.4333942483408699E-2</v>
      </c>
      <c r="N107">
        <v>6</v>
      </c>
      <c r="O107" t="s">
        <v>18</v>
      </c>
      <c r="P107">
        <v>2.2556390977443601E-2</v>
      </c>
      <c r="Q107">
        <v>672.98</v>
      </c>
    </row>
    <row r="108" spans="1:17" x14ac:dyDescent="0.3">
      <c r="A108" t="s">
        <v>136</v>
      </c>
      <c r="B108" t="s">
        <v>15</v>
      </c>
      <c r="C108" s="1">
        <v>45160</v>
      </c>
      <c r="D108" s="1">
        <v>45163</v>
      </c>
      <c r="E108" t="s">
        <v>29</v>
      </c>
      <c r="F108">
        <v>3</v>
      </c>
      <c r="G108" t="s">
        <v>17</v>
      </c>
      <c r="H108">
        <v>813</v>
      </c>
      <c r="I108">
        <v>109.17</v>
      </c>
      <c r="J108">
        <v>107.39</v>
      </c>
      <c r="K108">
        <v>88755.21</v>
      </c>
      <c r="L108">
        <v>87308.07</v>
      </c>
      <c r="M108">
        <v>1.6304845653567799E-2</v>
      </c>
      <c r="N108">
        <v>14</v>
      </c>
      <c r="O108" t="s">
        <v>18</v>
      </c>
      <c r="P108">
        <v>1.7220172201721999E-2</v>
      </c>
      <c r="Q108">
        <v>1447.14</v>
      </c>
    </row>
    <row r="109" spans="1:17" x14ac:dyDescent="0.3">
      <c r="A109" t="s">
        <v>137</v>
      </c>
      <c r="B109" t="s">
        <v>32</v>
      </c>
      <c r="C109" s="1">
        <v>45000</v>
      </c>
      <c r="D109" s="1">
        <v>45011</v>
      </c>
      <c r="E109" t="s">
        <v>42</v>
      </c>
      <c r="F109">
        <v>11</v>
      </c>
      <c r="G109" t="s">
        <v>21</v>
      </c>
      <c r="H109">
        <v>237</v>
      </c>
      <c r="I109">
        <v>64.19</v>
      </c>
      <c r="J109">
        <v>59.01</v>
      </c>
      <c r="K109">
        <v>15213.03</v>
      </c>
      <c r="L109">
        <v>13985.37</v>
      </c>
      <c r="M109">
        <v>8.0697928026172303E-2</v>
      </c>
      <c r="N109">
        <v>7</v>
      </c>
      <c r="O109" t="s">
        <v>18</v>
      </c>
      <c r="P109">
        <v>2.9535864978902999E-2</v>
      </c>
      <c r="Q109">
        <v>1227.6600000000001</v>
      </c>
    </row>
    <row r="110" spans="1:17" x14ac:dyDescent="0.3">
      <c r="A110" t="s">
        <v>138</v>
      </c>
      <c r="B110" t="s">
        <v>15</v>
      </c>
      <c r="C110" s="1">
        <v>45159</v>
      </c>
      <c r="D110" s="1">
        <v>45172</v>
      </c>
      <c r="E110" t="s">
        <v>16</v>
      </c>
      <c r="F110">
        <v>13</v>
      </c>
      <c r="G110" t="s">
        <v>17</v>
      </c>
      <c r="H110">
        <v>429</v>
      </c>
      <c r="I110">
        <v>86.73</v>
      </c>
      <c r="J110">
        <v>75.09</v>
      </c>
      <c r="K110">
        <v>37207.17</v>
      </c>
      <c r="L110">
        <v>32213.61</v>
      </c>
      <c r="M110">
        <v>0.13420961604980999</v>
      </c>
      <c r="N110">
        <v>9</v>
      </c>
      <c r="O110" t="s">
        <v>18</v>
      </c>
      <c r="P110">
        <v>2.0979020979021001E-2</v>
      </c>
      <c r="Q110">
        <v>4993.5600000000004</v>
      </c>
    </row>
    <row r="111" spans="1:17" x14ac:dyDescent="0.3">
      <c r="A111" t="s">
        <v>139</v>
      </c>
      <c r="B111" t="s">
        <v>20</v>
      </c>
      <c r="C111" s="1">
        <v>44970</v>
      </c>
      <c r="D111" s="1">
        <v>44971</v>
      </c>
      <c r="E111" t="s">
        <v>27</v>
      </c>
      <c r="F111">
        <v>1</v>
      </c>
      <c r="G111" t="s">
        <v>21</v>
      </c>
      <c r="H111">
        <v>542</v>
      </c>
      <c r="I111">
        <v>101.21</v>
      </c>
      <c r="J111">
        <v>93.11</v>
      </c>
      <c r="K111">
        <v>54855.82</v>
      </c>
      <c r="L111">
        <v>50465.62</v>
      </c>
      <c r="M111">
        <v>8.0031617429107804E-2</v>
      </c>
      <c r="N111">
        <v>78</v>
      </c>
      <c r="O111" t="s">
        <v>30</v>
      </c>
      <c r="P111">
        <v>0.143911439114391</v>
      </c>
      <c r="Q111">
        <v>4390.2</v>
      </c>
    </row>
    <row r="112" spans="1:17" x14ac:dyDescent="0.3">
      <c r="A112" t="s">
        <v>140</v>
      </c>
      <c r="B112" t="s">
        <v>32</v>
      </c>
      <c r="C112" s="1">
        <v>44932</v>
      </c>
      <c r="D112" s="1">
        <v>44950</v>
      </c>
      <c r="E112" t="s">
        <v>42</v>
      </c>
      <c r="F112">
        <v>18</v>
      </c>
      <c r="G112" t="s">
        <v>21</v>
      </c>
      <c r="H112">
        <v>1114</v>
      </c>
      <c r="I112">
        <v>91.66</v>
      </c>
      <c r="J112">
        <v>85.53</v>
      </c>
      <c r="K112">
        <v>102109.24</v>
      </c>
      <c r="L112">
        <v>95280.42</v>
      </c>
      <c r="M112">
        <v>6.68775910975343E-2</v>
      </c>
      <c r="N112">
        <v>35</v>
      </c>
      <c r="O112" t="s">
        <v>18</v>
      </c>
      <c r="P112">
        <v>3.1418312387791698E-2</v>
      </c>
      <c r="Q112">
        <v>6828.82</v>
      </c>
    </row>
    <row r="113" spans="1:17" x14ac:dyDescent="0.3">
      <c r="A113" t="s">
        <v>141</v>
      </c>
      <c r="B113" t="s">
        <v>15</v>
      </c>
      <c r="C113" s="1">
        <v>44786</v>
      </c>
      <c r="D113" s="1">
        <v>44788</v>
      </c>
      <c r="E113" t="s">
        <v>24</v>
      </c>
      <c r="F113">
        <v>2</v>
      </c>
      <c r="G113" t="s">
        <v>21</v>
      </c>
      <c r="H113">
        <v>1230</v>
      </c>
      <c r="I113">
        <v>33.39</v>
      </c>
      <c r="J113">
        <v>30.85</v>
      </c>
      <c r="K113">
        <v>41069.699999999997</v>
      </c>
      <c r="L113">
        <v>37945.5</v>
      </c>
      <c r="M113">
        <v>7.6070679844264702E-2</v>
      </c>
      <c r="N113">
        <v>26</v>
      </c>
      <c r="O113" t="s">
        <v>18</v>
      </c>
      <c r="P113">
        <v>2.1138211382113799E-2</v>
      </c>
      <c r="Q113">
        <v>3124.2</v>
      </c>
    </row>
    <row r="114" spans="1:17" x14ac:dyDescent="0.3">
      <c r="A114" t="s">
        <v>142</v>
      </c>
      <c r="B114" t="s">
        <v>26</v>
      </c>
      <c r="C114" s="1">
        <v>44703</v>
      </c>
      <c r="D114" s="1">
        <v>44715</v>
      </c>
      <c r="E114" t="s">
        <v>24</v>
      </c>
      <c r="F114">
        <v>12</v>
      </c>
      <c r="G114" t="s">
        <v>21</v>
      </c>
      <c r="H114">
        <v>64</v>
      </c>
      <c r="I114">
        <v>51.56</v>
      </c>
      <c r="J114">
        <v>50.88</v>
      </c>
      <c r="K114">
        <v>3299.84</v>
      </c>
      <c r="L114">
        <v>3256.32</v>
      </c>
      <c r="M114">
        <v>1.3188518231187E-2</v>
      </c>
      <c r="N114">
        <v>5</v>
      </c>
      <c r="O114" t="s">
        <v>18</v>
      </c>
      <c r="P114">
        <v>7.8125E-2</v>
      </c>
      <c r="Q114">
        <v>43.52</v>
      </c>
    </row>
    <row r="115" spans="1:17" x14ac:dyDescent="0.3">
      <c r="A115" t="s">
        <v>143</v>
      </c>
      <c r="B115" t="s">
        <v>15</v>
      </c>
      <c r="C115" s="1">
        <v>45083</v>
      </c>
      <c r="D115" s="1">
        <v>45099</v>
      </c>
      <c r="E115" t="s">
        <v>24</v>
      </c>
      <c r="F115">
        <v>16</v>
      </c>
      <c r="G115" t="s">
        <v>21</v>
      </c>
      <c r="H115">
        <v>1886</v>
      </c>
      <c r="I115">
        <v>23.46</v>
      </c>
      <c r="J115">
        <v>23.18</v>
      </c>
      <c r="K115">
        <v>44245.56</v>
      </c>
      <c r="L115">
        <v>43717.48</v>
      </c>
      <c r="M115">
        <v>1.19352088661554E-2</v>
      </c>
      <c r="N115">
        <v>0</v>
      </c>
      <c r="O115" t="s">
        <v>18</v>
      </c>
      <c r="P115">
        <v>0</v>
      </c>
      <c r="Q115">
        <v>528.08000000000004</v>
      </c>
    </row>
    <row r="116" spans="1:17" x14ac:dyDescent="0.3">
      <c r="A116" t="s">
        <v>144</v>
      </c>
      <c r="B116" t="s">
        <v>20</v>
      </c>
      <c r="C116" s="1">
        <v>45067</v>
      </c>
      <c r="D116" s="1">
        <v>45069</v>
      </c>
      <c r="E116" t="s">
        <v>16</v>
      </c>
      <c r="F116">
        <v>2</v>
      </c>
      <c r="G116" t="s">
        <v>21</v>
      </c>
      <c r="H116">
        <v>114</v>
      </c>
      <c r="I116">
        <v>103.53</v>
      </c>
      <c r="J116">
        <v>101.54</v>
      </c>
      <c r="K116">
        <v>11802.42</v>
      </c>
      <c r="L116">
        <v>11575.56</v>
      </c>
      <c r="M116">
        <v>1.9221481696126599E-2</v>
      </c>
      <c r="N116">
        <v>14</v>
      </c>
      <c r="O116" t="s">
        <v>18</v>
      </c>
      <c r="P116">
        <v>0.12280701754386</v>
      </c>
      <c r="Q116">
        <v>226.86</v>
      </c>
    </row>
    <row r="117" spans="1:17" x14ac:dyDescent="0.3">
      <c r="A117" t="s">
        <v>145</v>
      </c>
      <c r="B117" t="s">
        <v>20</v>
      </c>
      <c r="C117" s="1">
        <v>44655</v>
      </c>
      <c r="D117" s="1">
        <v>44673</v>
      </c>
      <c r="E117" t="s">
        <v>42</v>
      </c>
      <c r="F117">
        <v>18</v>
      </c>
      <c r="G117" t="s">
        <v>17</v>
      </c>
      <c r="H117">
        <v>1930</v>
      </c>
      <c r="I117">
        <v>65.52</v>
      </c>
      <c r="J117">
        <v>56.9</v>
      </c>
      <c r="K117">
        <v>126453.6</v>
      </c>
      <c r="L117">
        <v>109817</v>
      </c>
      <c r="M117">
        <v>0.13156288156288201</v>
      </c>
      <c r="N117">
        <v>282</v>
      </c>
      <c r="O117" t="s">
        <v>18</v>
      </c>
      <c r="P117">
        <v>0.14611398963730601</v>
      </c>
      <c r="Q117">
        <v>16636.599999999999</v>
      </c>
    </row>
    <row r="118" spans="1:17" x14ac:dyDescent="0.3">
      <c r="A118" t="s">
        <v>146</v>
      </c>
      <c r="B118" t="s">
        <v>26</v>
      </c>
      <c r="C118" s="1">
        <v>44610</v>
      </c>
      <c r="D118" s="1">
        <v>44620</v>
      </c>
      <c r="E118" t="s">
        <v>16</v>
      </c>
      <c r="F118">
        <v>10</v>
      </c>
      <c r="G118" t="s">
        <v>38</v>
      </c>
      <c r="H118">
        <v>1912</v>
      </c>
      <c r="I118">
        <v>30.73</v>
      </c>
      <c r="J118">
        <v>29.82</v>
      </c>
      <c r="K118">
        <v>58755.76</v>
      </c>
      <c r="L118">
        <v>57015.839999999997</v>
      </c>
      <c r="M118">
        <v>2.96127562642369E-2</v>
      </c>
      <c r="N118">
        <v>191</v>
      </c>
      <c r="O118" t="s">
        <v>18</v>
      </c>
      <c r="P118">
        <v>9.9895397489539794E-2</v>
      </c>
      <c r="Q118">
        <v>1739.92</v>
      </c>
    </row>
    <row r="119" spans="1:17" x14ac:dyDescent="0.3">
      <c r="A119" t="s">
        <v>147</v>
      </c>
      <c r="B119" t="s">
        <v>32</v>
      </c>
      <c r="C119" s="1">
        <v>44674</v>
      </c>
      <c r="D119" s="1">
        <v>44690</v>
      </c>
      <c r="E119" t="s">
        <v>24</v>
      </c>
      <c r="F119">
        <v>16</v>
      </c>
      <c r="G119" t="s">
        <v>21</v>
      </c>
      <c r="H119">
        <v>570</v>
      </c>
      <c r="I119">
        <v>71.510000000000005</v>
      </c>
      <c r="J119">
        <v>66.47</v>
      </c>
      <c r="K119">
        <v>40760.699999999997</v>
      </c>
      <c r="L119">
        <v>37887.9</v>
      </c>
      <c r="M119">
        <v>7.04796531953574E-2</v>
      </c>
      <c r="N119">
        <v>0</v>
      </c>
      <c r="O119" t="s">
        <v>18</v>
      </c>
      <c r="P119">
        <v>0</v>
      </c>
      <c r="Q119">
        <v>2872.8</v>
      </c>
    </row>
    <row r="120" spans="1:17" x14ac:dyDescent="0.3">
      <c r="A120" t="s">
        <v>148</v>
      </c>
      <c r="B120" t="s">
        <v>26</v>
      </c>
      <c r="C120" s="1">
        <v>44718</v>
      </c>
      <c r="D120" s="1">
        <v>44738</v>
      </c>
      <c r="E120" t="s">
        <v>29</v>
      </c>
      <c r="F120">
        <v>20</v>
      </c>
      <c r="G120" t="s">
        <v>21</v>
      </c>
      <c r="H120">
        <v>1417</v>
      </c>
      <c r="I120">
        <v>67.27</v>
      </c>
      <c r="J120">
        <v>60.62</v>
      </c>
      <c r="K120">
        <v>95321.59</v>
      </c>
      <c r="L120">
        <v>85898.54</v>
      </c>
      <c r="M120">
        <v>9.8855359001040602E-2</v>
      </c>
      <c r="N120">
        <v>0</v>
      </c>
      <c r="O120" t="s">
        <v>18</v>
      </c>
      <c r="P120">
        <v>0</v>
      </c>
      <c r="Q120">
        <v>9423.0499999999993</v>
      </c>
    </row>
    <row r="121" spans="1:17" x14ac:dyDescent="0.3">
      <c r="A121" t="s">
        <v>149</v>
      </c>
      <c r="B121" t="s">
        <v>15</v>
      </c>
      <c r="C121" s="1">
        <v>45204</v>
      </c>
      <c r="D121" s="1">
        <v>45210</v>
      </c>
      <c r="E121" t="s">
        <v>29</v>
      </c>
      <c r="F121">
        <v>6</v>
      </c>
      <c r="G121" t="s">
        <v>21</v>
      </c>
      <c r="H121">
        <v>1202</v>
      </c>
      <c r="I121">
        <v>46.67</v>
      </c>
      <c r="J121">
        <v>44.13</v>
      </c>
      <c r="K121">
        <v>56097.34</v>
      </c>
      <c r="L121">
        <v>53044.26</v>
      </c>
      <c r="M121">
        <v>5.4424683951146399E-2</v>
      </c>
      <c r="N121">
        <v>21</v>
      </c>
      <c r="O121" t="s">
        <v>30</v>
      </c>
      <c r="P121">
        <v>1.7470881863560699E-2</v>
      </c>
      <c r="Q121">
        <v>3053.08</v>
      </c>
    </row>
    <row r="122" spans="1:17" x14ac:dyDescent="0.3">
      <c r="A122" t="s">
        <v>150</v>
      </c>
      <c r="B122" t="s">
        <v>26</v>
      </c>
      <c r="C122" s="1">
        <v>44725</v>
      </c>
      <c r="D122" s="1">
        <v>44726</v>
      </c>
      <c r="E122" t="s">
        <v>16</v>
      </c>
      <c r="F122">
        <v>1</v>
      </c>
      <c r="G122" t="s">
        <v>21</v>
      </c>
      <c r="H122">
        <v>697</v>
      </c>
      <c r="I122">
        <v>20.73</v>
      </c>
      <c r="J122">
        <v>19.829999999999998</v>
      </c>
      <c r="K122">
        <v>14448.81</v>
      </c>
      <c r="L122">
        <v>13821.51</v>
      </c>
      <c r="M122">
        <v>4.3415340086830803E-2</v>
      </c>
      <c r="N122">
        <v>78</v>
      </c>
      <c r="O122" t="s">
        <v>30</v>
      </c>
      <c r="P122">
        <v>0.11190817790530801</v>
      </c>
      <c r="Q122">
        <v>627.29999999999995</v>
      </c>
    </row>
    <row r="123" spans="1:17" x14ac:dyDescent="0.3">
      <c r="A123" t="s">
        <v>151</v>
      </c>
      <c r="B123" t="s">
        <v>32</v>
      </c>
      <c r="C123" s="1">
        <v>45258</v>
      </c>
      <c r="D123" s="1">
        <v>45261</v>
      </c>
      <c r="E123" t="s">
        <v>24</v>
      </c>
      <c r="F123">
        <v>3</v>
      </c>
      <c r="G123" t="s">
        <v>21</v>
      </c>
      <c r="H123">
        <v>1545</v>
      </c>
      <c r="I123">
        <v>78.19</v>
      </c>
      <c r="J123">
        <v>76.91</v>
      </c>
      <c r="K123">
        <v>120803.55</v>
      </c>
      <c r="L123">
        <v>118825.95</v>
      </c>
      <c r="M123">
        <v>1.6370379843969898E-2</v>
      </c>
      <c r="N123">
        <v>42</v>
      </c>
      <c r="O123" t="s">
        <v>18</v>
      </c>
      <c r="P123">
        <v>2.71844660194175E-2</v>
      </c>
      <c r="Q123">
        <v>1977.6</v>
      </c>
    </row>
    <row r="124" spans="1:17" x14ac:dyDescent="0.3">
      <c r="A124" t="s">
        <v>152</v>
      </c>
      <c r="B124" t="s">
        <v>23</v>
      </c>
      <c r="C124" s="1">
        <v>44994</v>
      </c>
      <c r="D124" s="1">
        <v>44998</v>
      </c>
      <c r="E124" t="s">
        <v>24</v>
      </c>
      <c r="F124">
        <v>4</v>
      </c>
      <c r="G124" t="s">
        <v>36</v>
      </c>
      <c r="H124">
        <v>1136</v>
      </c>
      <c r="I124">
        <v>60.81</v>
      </c>
      <c r="J124">
        <v>58.25</v>
      </c>
      <c r="K124">
        <v>69080.160000000003</v>
      </c>
      <c r="L124">
        <v>66172</v>
      </c>
      <c r="M124">
        <v>4.2098339088965701E-2</v>
      </c>
      <c r="N124">
        <v>62</v>
      </c>
      <c r="O124" t="s">
        <v>18</v>
      </c>
      <c r="P124">
        <v>5.4577464788732398E-2</v>
      </c>
      <c r="Q124">
        <v>2908.16</v>
      </c>
    </row>
    <row r="125" spans="1:17" x14ac:dyDescent="0.3">
      <c r="A125" t="s">
        <v>153</v>
      </c>
      <c r="B125" t="s">
        <v>26</v>
      </c>
      <c r="C125" s="1">
        <v>45172</v>
      </c>
      <c r="D125" s="1">
        <v>45176</v>
      </c>
      <c r="E125" t="s">
        <v>24</v>
      </c>
      <c r="F125">
        <v>4</v>
      </c>
      <c r="G125" t="s">
        <v>21</v>
      </c>
      <c r="H125">
        <v>1212</v>
      </c>
      <c r="I125">
        <v>87.46</v>
      </c>
      <c r="J125">
        <v>74.55</v>
      </c>
      <c r="K125">
        <v>106001.52</v>
      </c>
      <c r="L125">
        <v>90354.6</v>
      </c>
      <c r="M125">
        <v>0.14761033615367</v>
      </c>
      <c r="N125">
        <v>118</v>
      </c>
      <c r="O125" t="s">
        <v>30</v>
      </c>
      <c r="P125">
        <v>9.73597359735974E-2</v>
      </c>
      <c r="Q125">
        <v>15646.92</v>
      </c>
    </row>
    <row r="126" spans="1:17" x14ac:dyDescent="0.3">
      <c r="A126" t="s">
        <v>154</v>
      </c>
      <c r="B126" t="s">
        <v>32</v>
      </c>
      <c r="C126" s="1">
        <v>44627</v>
      </c>
      <c r="D126" s="1">
        <v>44632</v>
      </c>
      <c r="E126" t="s">
        <v>24</v>
      </c>
      <c r="F126">
        <v>5</v>
      </c>
      <c r="G126" t="s">
        <v>21</v>
      </c>
      <c r="H126">
        <v>1572</v>
      </c>
      <c r="I126">
        <v>57.38</v>
      </c>
      <c r="J126">
        <v>49.32</v>
      </c>
      <c r="K126">
        <v>90201.36</v>
      </c>
      <c r="L126">
        <v>77531.039999999994</v>
      </c>
      <c r="M126">
        <v>0.14046706169397</v>
      </c>
      <c r="N126">
        <v>40</v>
      </c>
      <c r="O126" t="s">
        <v>18</v>
      </c>
      <c r="P126">
        <v>2.54452926208651E-2</v>
      </c>
      <c r="Q126">
        <v>12670.32</v>
      </c>
    </row>
    <row r="127" spans="1:17" x14ac:dyDescent="0.3">
      <c r="A127" t="s">
        <v>155</v>
      </c>
      <c r="B127" t="s">
        <v>23</v>
      </c>
      <c r="C127" s="1">
        <v>44956</v>
      </c>
      <c r="D127" s="1">
        <v>44966</v>
      </c>
      <c r="E127" t="s">
        <v>42</v>
      </c>
      <c r="F127">
        <v>10</v>
      </c>
      <c r="G127" t="s">
        <v>21</v>
      </c>
      <c r="H127">
        <v>642</v>
      </c>
      <c r="I127">
        <v>91.9</v>
      </c>
      <c r="J127">
        <v>81.489999999999995</v>
      </c>
      <c r="K127">
        <v>58999.8</v>
      </c>
      <c r="L127">
        <v>52316.58</v>
      </c>
      <c r="M127">
        <v>0.113275299238303</v>
      </c>
      <c r="N127">
        <v>26</v>
      </c>
      <c r="O127" t="s">
        <v>18</v>
      </c>
      <c r="P127">
        <v>4.0498442367601202E-2</v>
      </c>
      <c r="Q127">
        <v>6683.22</v>
      </c>
    </row>
    <row r="128" spans="1:17" x14ac:dyDescent="0.3">
      <c r="A128" t="s">
        <v>156</v>
      </c>
      <c r="B128" t="s">
        <v>32</v>
      </c>
      <c r="C128" s="1">
        <v>44952</v>
      </c>
      <c r="D128" s="1">
        <v>44961</v>
      </c>
      <c r="E128" t="s">
        <v>16</v>
      </c>
      <c r="F128">
        <v>9</v>
      </c>
      <c r="G128" t="s">
        <v>21</v>
      </c>
      <c r="H128">
        <v>441</v>
      </c>
      <c r="I128">
        <v>63.25</v>
      </c>
      <c r="J128">
        <v>54.12</v>
      </c>
      <c r="K128">
        <v>27893.25</v>
      </c>
      <c r="L128">
        <v>23866.92</v>
      </c>
      <c r="M128">
        <v>0.14434782608695701</v>
      </c>
      <c r="N128">
        <v>16</v>
      </c>
      <c r="O128" t="s">
        <v>18</v>
      </c>
      <c r="P128">
        <v>3.6281179138322003E-2</v>
      </c>
      <c r="Q128">
        <v>4026.33</v>
      </c>
    </row>
    <row r="129" spans="1:17" x14ac:dyDescent="0.3">
      <c r="A129" t="s">
        <v>157</v>
      </c>
      <c r="B129" t="s">
        <v>32</v>
      </c>
      <c r="C129" s="1">
        <v>45172</v>
      </c>
      <c r="D129" s="1">
        <v>45188</v>
      </c>
      <c r="E129" t="s">
        <v>16</v>
      </c>
      <c r="F129">
        <v>16</v>
      </c>
      <c r="G129" t="s">
        <v>21</v>
      </c>
      <c r="H129">
        <v>1748</v>
      </c>
      <c r="I129">
        <v>66.53</v>
      </c>
      <c r="J129">
        <v>57.11</v>
      </c>
      <c r="K129">
        <v>116294.44</v>
      </c>
      <c r="L129">
        <v>99828.28</v>
      </c>
      <c r="M129">
        <v>0.14159026003306799</v>
      </c>
      <c r="N129">
        <v>0</v>
      </c>
      <c r="O129" t="s">
        <v>18</v>
      </c>
      <c r="P129">
        <v>0</v>
      </c>
      <c r="Q129">
        <v>16466.16</v>
      </c>
    </row>
    <row r="130" spans="1:17" x14ac:dyDescent="0.3">
      <c r="A130" t="s">
        <v>158</v>
      </c>
      <c r="B130" t="s">
        <v>26</v>
      </c>
      <c r="C130" s="1">
        <v>45103</v>
      </c>
      <c r="D130" s="1">
        <v>45121</v>
      </c>
      <c r="E130" t="s">
        <v>29</v>
      </c>
      <c r="F130">
        <v>18</v>
      </c>
      <c r="G130" t="s">
        <v>21</v>
      </c>
      <c r="H130">
        <v>338</v>
      </c>
      <c r="I130">
        <v>50.25</v>
      </c>
      <c r="J130">
        <v>46.28</v>
      </c>
      <c r="K130">
        <v>16984.5</v>
      </c>
      <c r="L130">
        <v>15642.64</v>
      </c>
      <c r="M130">
        <v>7.9004975124377999E-2</v>
      </c>
      <c r="N130">
        <v>49</v>
      </c>
      <c r="O130" t="s">
        <v>30</v>
      </c>
      <c r="P130">
        <v>0.14497041420118301</v>
      </c>
      <c r="Q130">
        <v>1341.86</v>
      </c>
    </row>
    <row r="131" spans="1:17" x14ac:dyDescent="0.3">
      <c r="A131" t="s">
        <v>159</v>
      </c>
      <c r="B131" t="s">
        <v>23</v>
      </c>
      <c r="C131" s="1">
        <v>44819</v>
      </c>
      <c r="D131" s="1">
        <v>44826</v>
      </c>
      <c r="E131" t="s">
        <v>16</v>
      </c>
      <c r="F131">
        <v>7</v>
      </c>
      <c r="G131" t="s">
        <v>21</v>
      </c>
      <c r="H131">
        <v>428</v>
      </c>
      <c r="I131">
        <v>22.94</v>
      </c>
      <c r="J131">
        <v>21.52</v>
      </c>
      <c r="K131">
        <v>9818.32</v>
      </c>
      <c r="L131">
        <v>9210.56</v>
      </c>
      <c r="M131">
        <v>6.1900610287707103E-2</v>
      </c>
      <c r="N131">
        <v>26</v>
      </c>
      <c r="O131" t="s">
        <v>18</v>
      </c>
      <c r="P131">
        <v>6.0747663551401897E-2</v>
      </c>
      <c r="Q131">
        <v>607.76</v>
      </c>
    </row>
    <row r="132" spans="1:17" x14ac:dyDescent="0.3">
      <c r="A132" t="s">
        <v>160</v>
      </c>
      <c r="B132" t="s">
        <v>32</v>
      </c>
      <c r="C132" s="1">
        <v>44573</v>
      </c>
      <c r="D132" s="1">
        <v>44578</v>
      </c>
      <c r="E132" t="s">
        <v>16</v>
      </c>
      <c r="F132">
        <v>5</v>
      </c>
      <c r="G132" t="s">
        <v>21</v>
      </c>
      <c r="H132">
        <v>1563</v>
      </c>
      <c r="I132">
        <v>77.959999999999994</v>
      </c>
      <c r="J132">
        <v>70.8</v>
      </c>
      <c r="K132">
        <v>121851.48</v>
      </c>
      <c r="L132">
        <v>110660.4</v>
      </c>
      <c r="M132">
        <v>9.1841970241149304E-2</v>
      </c>
      <c r="N132">
        <v>41</v>
      </c>
      <c r="O132" t="s">
        <v>18</v>
      </c>
      <c r="P132">
        <v>2.6231605886116401E-2</v>
      </c>
      <c r="Q132">
        <v>11191.08</v>
      </c>
    </row>
    <row r="133" spans="1:17" x14ac:dyDescent="0.3">
      <c r="A133" t="s">
        <v>161</v>
      </c>
      <c r="B133" t="s">
        <v>26</v>
      </c>
      <c r="C133" s="1">
        <v>45258</v>
      </c>
      <c r="D133" s="1">
        <v>45267</v>
      </c>
      <c r="E133" t="s">
        <v>16</v>
      </c>
      <c r="F133">
        <v>9</v>
      </c>
      <c r="G133" t="s">
        <v>21</v>
      </c>
      <c r="H133">
        <v>280</v>
      </c>
      <c r="I133">
        <v>73.069999999999993</v>
      </c>
      <c r="J133">
        <v>69.290000000000006</v>
      </c>
      <c r="K133">
        <v>20459.599999999999</v>
      </c>
      <c r="L133">
        <v>19401.2</v>
      </c>
      <c r="M133">
        <v>5.1731216641576497E-2</v>
      </c>
      <c r="N133">
        <v>30</v>
      </c>
      <c r="O133" t="s">
        <v>18</v>
      </c>
      <c r="P133">
        <v>0.107142857142857</v>
      </c>
      <c r="Q133">
        <v>1058.4000000000001</v>
      </c>
    </row>
    <row r="134" spans="1:17" x14ac:dyDescent="0.3">
      <c r="A134" t="s">
        <v>162</v>
      </c>
      <c r="B134" t="s">
        <v>20</v>
      </c>
      <c r="C134" s="1">
        <v>44679</v>
      </c>
      <c r="D134" s="1">
        <v>44693</v>
      </c>
      <c r="E134" t="s">
        <v>29</v>
      </c>
      <c r="F134">
        <v>14</v>
      </c>
      <c r="G134" t="s">
        <v>21</v>
      </c>
      <c r="H134">
        <v>1067</v>
      </c>
      <c r="I134">
        <v>74.47</v>
      </c>
      <c r="J134">
        <v>64.16</v>
      </c>
      <c r="K134">
        <v>79459.490000000005</v>
      </c>
      <c r="L134">
        <v>68458.720000000001</v>
      </c>
      <c r="M134">
        <v>0.13844501141399199</v>
      </c>
      <c r="N134">
        <v>0</v>
      </c>
      <c r="O134" t="s">
        <v>30</v>
      </c>
      <c r="P134">
        <v>0</v>
      </c>
      <c r="Q134">
        <v>11000.77</v>
      </c>
    </row>
    <row r="135" spans="1:17" x14ac:dyDescent="0.3">
      <c r="A135" t="s">
        <v>163</v>
      </c>
      <c r="B135" t="s">
        <v>23</v>
      </c>
      <c r="C135" s="1">
        <v>45260</v>
      </c>
      <c r="D135" s="1">
        <v>45277</v>
      </c>
      <c r="E135" t="s">
        <v>42</v>
      </c>
      <c r="F135">
        <v>17</v>
      </c>
      <c r="G135" t="s">
        <v>38</v>
      </c>
      <c r="H135">
        <v>90</v>
      </c>
      <c r="I135">
        <v>32.380000000000003</v>
      </c>
      <c r="J135">
        <v>29.96</v>
      </c>
      <c r="K135">
        <v>2914.2</v>
      </c>
      <c r="L135">
        <v>2696.4</v>
      </c>
      <c r="M135">
        <v>7.4737492279184706E-2</v>
      </c>
      <c r="N135">
        <v>7</v>
      </c>
      <c r="O135" t="s">
        <v>18</v>
      </c>
      <c r="P135">
        <v>7.7777777777777807E-2</v>
      </c>
      <c r="Q135">
        <v>217.8</v>
      </c>
    </row>
    <row r="136" spans="1:17" x14ac:dyDescent="0.3">
      <c r="A136" t="s">
        <v>164</v>
      </c>
      <c r="B136" t="s">
        <v>23</v>
      </c>
      <c r="C136" s="1">
        <v>45111</v>
      </c>
      <c r="D136" s="1">
        <v>45112</v>
      </c>
      <c r="E136" t="s">
        <v>29</v>
      </c>
      <c r="F136">
        <v>1</v>
      </c>
      <c r="G136" t="s">
        <v>21</v>
      </c>
      <c r="H136">
        <v>1101</v>
      </c>
      <c r="I136">
        <v>24.28</v>
      </c>
      <c r="J136">
        <v>22.73</v>
      </c>
      <c r="K136">
        <v>26732.28</v>
      </c>
      <c r="L136">
        <v>25025.73</v>
      </c>
      <c r="M136">
        <v>6.3838550247117098E-2</v>
      </c>
      <c r="N136">
        <v>59</v>
      </c>
      <c r="O136" t="s">
        <v>30</v>
      </c>
      <c r="P136">
        <v>5.3587647593097198E-2</v>
      </c>
      <c r="Q136">
        <v>1706.55</v>
      </c>
    </row>
    <row r="137" spans="1:17" x14ac:dyDescent="0.3">
      <c r="A137" t="s">
        <v>165</v>
      </c>
      <c r="B137" t="s">
        <v>15</v>
      </c>
      <c r="C137" s="1">
        <v>44835</v>
      </c>
      <c r="D137" s="1">
        <v>44845</v>
      </c>
      <c r="E137" t="s">
        <v>29</v>
      </c>
      <c r="F137">
        <v>10</v>
      </c>
      <c r="G137" t="s">
        <v>21</v>
      </c>
      <c r="H137">
        <v>184</v>
      </c>
      <c r="I137">
        <v>11.82</v>
      </c>
      <c r="J137">
        <v>10.51</v>
      </c>
      <c r="K137">
        <v>2174.88</v>
      </c>
      <c r="L137">
        <v>1933.84</v>
      </c>
      <c r="M137">
        <v>0.11082910321489001</v>
      </c>
      <c r="N137">
        <v>4</v>
      </c>
      <c r="O137" t="s">
        <v>18</v>
      </c>
      <c r="P137">
        <v>2.1739130434782601E-2</v>
      </c>
      <c r="Q137">
        <v>241.04</v>
      </c>
    </row>
    <row r="138" spans="1:17" x14ac:dyDescent="0.3">
      <c r="A138" t="s">
        <v>166</v>
      </c>
      <c r="B138" t="s">
        <v>32</v>
      </c>
      <c r="C138" s="1">
        <v>45218</v>
      </c>
      <c r="D138" s="1">
        <v>45237</v>
      </c>
      <c r="E138" t="s">
        <v>42</v>
      </c>
      <c r="F138">
        <v>19</v>
      </c>
      <c r="G138" t="s">
        <v>21</v>
      </c>
      <c r="H138">
        <v>250</v>
      </c>
      <c r="I138">
        <v>45.92</v>
      </c>
      <c r="J138">
        <v>41.02</v>
      </c>
      <c r="K138">
        <v>11480</v>
      </c>
      <c r="L138">
        <v>10255</v>
      </c>
      <c r="M138">
        <v>0.10670731707317101</v>
      </c>
      <c r="N138">
        <v>3</v>
      </c>
      <c r="O138" t="s">
        <v>18</v>
      </c>
      <c r="P138">
        <v>1.2E-2</v>
      </c>
      <c r="Q138">
        <v>1225</v>
      </c>
    </row>
    <row r="139" spans="1:17" x14ac:dyDescent="0.3">
      <c r="A139" t="s">
        <v>167</v>
      </c>
      <c r="B139" t="s">
        <v>26</v>
      </c>
      <c r="C139" s="1">
        <v>44676</v>
      </c>
      <c r="D139" s="1">
        <v>44681</v>
      </c>
      <c r="E139" t="s">
        <v>42</v>
      </c>
      <c r="F139">
        <v>5</v>
      </c>
      <c r="G139" t="s">
        <v>21</v>
      </c>
      <c r="H139">
        <v>829</v>
      </c>
      <c r="I139">
        <v>45.98</v>
      </c>
      <c r="J139">
        <v>40.39</v>
      </c>
      <c r="K139">
        <v>38117.42</v>
      </c>
      <c r="L139">
        <v>33483.31</v>
      </c>
      <c r="M139">
        <v>0.121574597651153</v>
      </c>
      <c r="N139">
        <v>0</v>
      </c>
      <c r="O139" t="s">
        <v>18</v>
      </c>
      <c r="P139">
        <v>0</v>
      </c>
      <c r="Q139">
        <v>4634.1099999999997</v>
      </c>
    </row>
    <row r="140" spans="1:17" x14ac:dyDescent="0.3">
      <c r="A140" t="s">
        <v>168</v>
      </c>
      <c r="B140" t="s">
        <v>20</v>
      </c>
      <c r="C140" s="1">
        <v>44862</v>
      </c>
      <c r="D140" s="1">
        <v>44878</v>
      </c>
      <c r="E140" t="s">
        <v>29</v>
      </c>
      <c r="F140">
        <v>16</v>
      </c>
      <c r="G140" t="s">
        <v>21</v>
      </c>
      <c r="H140">
        <v>979</v>
      </c>
      <c r="I140">
        <v>51.59</v>
      </c>
      <c r="J140">
        <v>49.69</v>
      </c>
      <c r="K140">
        <v>50506.61</v>
      </c>
      <c r="L140">
        <v>48646.51</v>
      </c>
      <c r="M140">
        <v>3.6828842798992199E-2</v>
      </c>
      <c r="N140">
        <v>148</v>
      </c>
      <c r="O140" t="s">
        <v>18</v>
      </c>
      <c r="P140">
        <v>0.15117466802860099</v>
      </c>
      <c r="Q140">
        <v>1860.1</v>
      </c>
    </row>
    <row r="141" spans="1:17" x14ac:dyDescent="0.3">
      <c r="A141" t="s">
        <v>169</v>
      </c>
      <c r="B141" t="s">
        <v>32</v>
      </c>
      <c r="C141" s="1">
        <v>45007</v>
      </c>
      <c r="D141" s="1">
        <v>45025</v>
      </c>
      <c r="E141" t="s">
        <v>42</v>
      </c>
      <c r="F141">
        <v>18</v>
      </c>
      <c r="G141" t="s">
        <v>36</v>
      </c>
      <c r="H141">
        <v>1106</v>
      </c>
      <c r="I141">
        <v>97.77</v>
      </c>
      <c r="J141">
        <v>90.45</v>
      </c>
      <c r="K141">
        <v>108133.62</v>
      </c>
      <c r="L141">
        <v>100037.7</v>
      </c>
      <c r="M141">
        <v>7.4869591899355603E-2</v>
      </c>
      <c r="N141">
        <v>31</v>
      </c>
      <c r="O141" t="s">
        <v>18</v>
      </c>
      <c r="P141">
        <v>2.8028933092224199E-2</v>
      </c>
      <c r="Q141">
        <v>8095.92</v>
      </c>
    </row>
    <row r="142" spans="1:17" x14ac:dyDescent="0.3">
      <c r="A142" t="s">
        <v>170</v>
      </c>
      <c r="B142" t="s">
        <v>20</v>
      </c>
      <c r="C142" s="1">
        <v>44723</v>
      </c>
      <c r="D142" s="1">
        <v>44736</v>
      </c>
      <c r="E142" t="s">
        <v>16</v>
      </c>
      <c r="F142">
        <v>13</v>
      </c>
      <c r="G142" t="s">
        <v>38</v>
      </c>
      <c r="H142">
        <v>1121</v>
      </c>
      <c r="I142">
        <v>42.38</v>
      </c>
      <c r="J142">
        <v>38.340000000000003</v>
      </c>
      <c r="K142">
        <v>47507.98</v>
      </c>
      <c r="L142">
        <v>42979.14</v>
      </c>
      <c r="M142">
        <v>9.5327984898536999E-2</v>
      </c>
      <c r="N142">
        <v>152</v>
      </c>
      <c r="O142" t="s">
        <v>18</v>
      </c>
      <c r="P142">
        <v>0.13559322033898299</v>
      </c>
      <c r="Q142">
        <v>4528.84</v>
      </c>
    </row>
    <row r="143" spans="1:17" x14ac:dyDescent="0.3">
      <c r="A143" t="s">
        <v>171</v>
      </c>
      <c r="B143" t="s">
        <v>15</v>
      </c>
      <c r="C143" s="1">
        <v>45026</v>
      </c>
      <c r="D143" s="1">
        <v>45037</v>
      </c>
      <c r="E143" t="s">
        <v>16</v>
      </c>
      <c r="F143">
        <v>11</v>
      </c>
      <c r="G143" t="s">
        <v>21</v>
      </c>
      <c r="H143">
        <v>552</v>
      </c>
      <c r="I143">
        <v>60.48</v>
      </c>
      <c r="J143">
        <v>56.78</v>
      </c>
      <c r="K143">
        <v>33384.959999999999</v>
      </c>
      <c r="L143">
        <v>31342.560000000001</v>
      </c>
      <c r="M143">
        <v>6.1177248677248601E-2</v>
      </c>
      <c r="N143">
        <v>10</v>
      </c>
      <c r="O143" t="s">
        <v>18</v>
      </c>
      <c r="P143">
        <v>1.8115942028985501E-2</v>
      </c>
      <c r="Q143">
        <v>2042.4</v>
      </c>
    </row>
    <row r="144" spans="1:17" x14ac:dyDescent="0.3">
      <c r="A144" t="s">
        <v>172</v>
      </c>
      <c r="B144" t="s">
        <v>23</v>
      </c>
      <c r="C144" s="1">
        <v>44565</v>
      </c>
      <c r="D144" s="1">
        <v>44573</v>
      </c>
      <c r="E144" t="s">
        <v>27</v>
      </c>
      <c r="F144">
        <v>8</v>
      </c>
      <c r="G144" t="s">
        <v>21</v>
      </c>
      <c r="H144">
        <v>456</v>
      </c>
      <c r="I144">
        <v>80.53</v>
      </c>
      <c r="J144">
        <v>77.86</v>
      </c>
      <c r="K144">
        <v>36721.68</v>
      </c>
      <c r="L144">
        <v>35504.160000000003</v>
      </c>
      <c r="M144">
        <v>3.3155345833850797E-2</v>
      </c>
      <c r="N144">
        <v>26</v>
      </c>
      <c r="O144" t="s">
        <v>18</v>
      </c>
      <c r="P144">
        <v>5.7017543859649099E-2</v>
      </c>
      <c r="Q144">
        <v>1217.52</v>
      </c>
    </row>
    <row r="145" spans="1:17" x14ac:dyDescent="0.3">
      <c r="A145" t="s">
        <v>173</v>
      </c>
      <c r="B145" t="s">
        <v>20</v>
      </c>
      <c r="C145" s="1">
        <v>44831</v>
      </c>
      <c r="D145" s="1">
        <v>44839</v>
      </c>
      <c r="E145" t="s">
        <v>27</v>
      </c>
      <c r="F145">
        <v>8</v>
      </c>
      <c r="G145" t="s">
        <v>21</v>
      </c>
      <c r="H145">
        <v>1647</v>
      </c>
      <c r="I145">
        <v>47.52</v>
      </c>
      <c r="J145">
        <v>44.92</v>
      </c>
      <c r="K145">
        <v>78265.440000000002</v>
      </c>
      <c r="L145">
        <v>73983.240000000005</v>
      </c>
      <c r="M145">
        <v>5.4713804713804701E-2</v>
      </c>
      <c r="N145">
        <v>0</v>
      </c>
      <c r="O145" t="s">
        <v>18</v>
      </c>
      <c r="P145">
        <v>0</v>
      </c>
      <c r="Q145">
        <v>4282.2</v>
      </c>
    </row>
    <row r="146" spans="1:17" x14ac:dyDescent="0.3">
      <c r="A146" t="s">
        <v>174</v>
      </c>
      <c r="B146" t="s">
        <v>32</v>
      </c>
      <c r="C146" s="1">
        <v>45074</v>
      </c>
      <c r="D146" s="1">
        <v>45088</v>
      </c>
      <c r="E146" t="s">
        <v>42</v>
      </c>
      <c r="F146">
        <v>14</v>
      </c>
      <c r="G146" t="s">
        <v>38</v>
      </c>
      <c r="H146">
        <v>1801</v>
      </c>
      <c r="I146">
        <v>71.27</v>
      </c>
      <c r="J146">
        <v>61.24</v>
      </c>
      <c r="K146">
        <v>128357.27</v>
      </c>
      <c r="L146">
        <v>110293.24</v>
      </c>
      <c r="M146">
        <v>0.140732425985688</v>
      </c>
      <c r="N146">
        <v>43</v>
      </c>
      <c r="O146" t="s">
        <v>18</v>
      </c>
      <c r="P146">
        <v>2.3875624652970599E-2</v>
      </c>
      <c r="Q146">
        <v>18064.03</v>
      </c>
    </row>
    <row r="147" spans="1:17" x14ac:dyDescent="0.3">
      <c r="A147" t="s">
        <v>175</v>
      </c>
      <c r="B147" t="s">
        <v>23</v>
      </c>
      <c r="C147" s="1">
        <v>44744</v>
      </c>
      <c r="D147" s="1">
        <v>44760</v>
      </c>
      <c r="E147" t="s">
        <v>42</v>
      </c>
      <c r="F147">
        <v>16</v>
      </c>
      <c r="G147" t="s">
        <v>21</v>
      </c>
      <c r="H147">
        <v>854</v>
      </c>
      <c r="I147">
        <v>90.24</v>
      </c>
      <c r="J147">
        <v>85.53</v>
      </c>
      <c r="K147">
        <v>77064.960000000006</v>
      </c>
      <c r="L147">
        <v>73042.62</v>
      </c>
      <c r="M147">
        <v>5.21941489361702E-2</v>
      </c>
      <c r="N147">
        <v>0</v>
      </c>
      <c r="O147" t="s">
        <v>18</v>
      </c>
      <c r="P147">
        <v>0</v>
      </c>
      <c r="Q147">
        <v>4022.34</v>
      </c>
    </row>
    <row r="148" spans="1:17" x14ac:dyDescent="0.3">
      <c r="A148" t="s">
        <v>176</v>
      </c>
      <c r="B148" t="s">
        <v>20</v>
      </c>
      <c r="C148" s="1">
        <v>45081</v>
      </c>
      <c r="D148" s="1">
        <v>45094</v>
      </c>
      <c r="E148" t="s">
        <v>42</v>
      </c>
      <c r="F148">
        <v>13</v>
      </c>
      <c r="G148" t="s">
        <v>21</v>
      </c>
      <c r="H148">
        <v>148</v>
      </c>
      <c r="I148">
        <v>103.57</v>
      </c>
      <c r="J148">
        <v>98.62</v>
      </c>
      <c r="K148">
        <v>15328.36</v>
      </c>
      <c r="L148">
        <v>14595.76</v>
      </c>
      <c r="M148">
        <v>4.7793762672588502E-2</v>
      </c>
      <c r="N148">
        <v>23</v>
      </c>
      <c r="O148" t="s">
        <v>30</v>
      </c>
      <c r="P148">
        <v>0.15540540540540501</v>
      </c>
      <c r="Q148">
        <v>732.6</v>
      </c>
    </row>
    <row r="149" spans="1:17" x14ac:dyDescent="0.3">
      <c r="A149" t="s">
        <v>177</v>
      </c>
      <c r="B149" t="s">
        <v>20</v>
      </c>
      <c r="C149" s="1">
        <v>44670</v>
      </c>
      <c r="D149" s="1">
        <v>44675</v>
      </c>
      <c r="E149" t="s">
        <v>24</v>
      </c>
      <c r="F149">
        <v>5</v>
      </c>
      <c r="G149" t="s">
        <v>21</v>
      </c>
      <c r="H149">
        <v>733</v>
      </c>
      <c r="I149">
        <v>23.59</v>
      </c>
      <c r="J149">
        <v>22.85</v>
      </c>
      <c r="K149">
        <v>17291.47</v>
      </c>
      <c r="L149">
        <v>16749.05</v>
      </c>
      <c r="M149">
        <v>3.1369224247562603E-2</v>
      </c>
      <c r="N149">
        <v>92</v>
      </c>
      <c r="O149" t="s">
        <v>18</v>
      </c>
      <c r="P149">
        <v>0.12551159618008201</v>
      </c>
      <c r="Q149">
        <v>542.41999999999996</v>
      </c>
    </row>
    <row r="150" spans="1:17" x14ac:dyDescent="0.3">
      <c r="A150" t="s">
        <v>178</v>
      </c>
      <c r="B150" t="s">
        <v>26</v>
      </c>
      <c r="C150" s="1">
        <v>45202</v>
      </c>
      <c r="D150" s="1">
        <v>45204</v>
      </c>
      <c r="E150" t="s">
        <v>29</v>
      </c>
      <c r="F150">
        <v>2</v>
      </c>
      <c r="G150" t="s">
        <v>21</v>
      </c>
      <c r="H150">
        <v>1945</v>
      </c>
      <c r="I150">
        <v>103.2</v>
      </c>
      <c r="J150">
        <v>88.56</v>
      </c>
      <c r="K150">
        <v>200724</v>
      </c>
      <c r="L150">
        <v>172249.2</v>
      </c>
      <c r="M150">
        <v>0.14186046511627901</v>
      </c>
      <c r="N150">
        <v>0</v>
      </c>
      <c r="O150" t="s">
        <v>18</v>
      </c>
      <c r="P150">
        <v>0</v>
      </c>
      <c r="Q150">
        <v>28474.799999999999</v>
      </c>
    </row>
    <row r="151" spans="1:17" x14ac:dyDescent="0.3">
      <c r="A151" t="s">
        <v>179</v>
      </c>
      <c r="B151" t="s">
        <v>23</v>
      </c>
      <c r="C151" s="1">
        <v>44867</v>
      </c>
      <c r="D151" s="1">
        <v>44886</v>
      </c>
      <c r="E151" t="s">
        <v>29</v>
      </c>
      <c r="F151">
        <v>19</v>
      </c>
      <c r="G151" t="s">
        <v>21</v>
      </c>
      <c r="H151">
        <v>775</v>
      </c>
      <c r="I151">
        <v>57</v>
      </c>
      <c r="J151">
        <v>49.14</v>
      </c>
      <c r="K151">
        <v>44175</v>
      </c>
      <c r="L151">
        <v>38083.5</v>
      </c>
      <c r="M151">
        <v>0.13789473684210499</v>
      </c>
      <c r="N151">
        <v>48</v>
      </c>
      <c r="O151" t="s">
        <v>18</v>
      </c>
      <c r="P151">
        <v>6.19354838709677E-2</v>
      </c>
      <c r="Q151">
        <v>6091.5</v>
      </c>
    </row>
    <row r="152" spans="1:17" x14ac:dyDescent="0.3">
      <c r="A152" t="s">
        <v>180</v>
      </c>
      <c r="B152" t="s">
        <v>20</v>
      </c>
      <c r="C152" s="1">
        <v>45216</v>
      </c>
      <c r="D152" s="1">
        <v>45220</v>
      </c>
      <c r="E152" t="s">
        <v>27</v>
      </c>
      <c r="F152">
        <v>4</v>
      </c>
      <c r="G152" t="s">
        <v>21</v>
      </c>
      <c r="H152">
        <v>1620</v>
      </c>
      <c r="I152">
        <v>36.729999999999997</v>
      </c>
      <c r="J152">
        <v>33.450000000000003</v>
      </c>
      <c r="K152">
        <v>59502.6</v>
      </c>
      <c r="L152">
        <v>54189</v>
      </c>
      <c r="M152">
        <v>8.9300299482711495E-2</v>
      </c>
      <c r="N152">
        <v>235</v>
      </c>
      <c r="O152" t="s">
        <v>30</v>
      </c>
      <c r="P152">
        <v>0.14506172839506201</v>
      </c>
      <c r="Q152">
        <v>5313.6</v>
      </c>
    </row>
    <row r="153" spans="1:17" x14ac:dyDescent="0.3">
      <c r="A153" t="s">
        <v>181</v>
      </c>
      <c r="B153" t="s">
        <v>26</v>
      </c>
      <c r="C153" s="1">
        <v>45081</v>
      </c>
      <c r="D153" s="1">
        <v>45096</v>
      </c>
      <c r="E153" t="s">
        <v>16</v>
      </c>
      <c r="F153">
        <v>15</v>
      </c>
      <c r="G153" t="s">
        <v>21</v>
      </c>
      <c r="H153">
        <v>1010</v>
      </c>
      <c r="I153">
        <v>55.68</v>
      </c>
      <c r="J153">
        <v>50.86</v>
      </c>
      <c r="K153">
        <v>56236.800000000003</v>
      </c>
      <c r="L153">
        <v>51368.6</v>
      </c>
      <c r="M153">
        <v>8.6566091954023094E-2</v>
      </c>
      <c r="N153">
        <v>0</v>
      </c>
      <c r="O153" t="s">
        <v>18</v>
      </c>
      <c r="P153">
        <v>0</v>
      </c>
      <c r="Q153">
        <v>4868.2</v>
      </c>
    </row>
    <row r="154" spans="1:17" x14ac:dyDescent="0.3">
      <c r="A154" t="s">
        <v>182</v>
      </c>
      <c r="B154" t="s">
        <v>32</v>
      </c>
      <c r="C154" s="1">
        <v>45185</v>
      </c>
      <c r="D154" s="1">
        <v>45200</v>
      </c>
      <c r="E154" t="s">
        <v>16</v>
      </c>
      <c r="F154">
        <v>15</v>
      </c>
      <c r="G154" t="s">
        <v>21</v>
      </c>
      <c r="H154">
        <v>1812</v>
      </c>
      <c r="I154">
        <v>108.02</v>
      </c>
      <c r="J154">
        <v>101.02</v>
      </c>
      <c r="K154">
        <v>195732.24</v>
      </c>
      <c r="L154">
        <v>183048.24</v>
      </c>
      <c r="M154">
        <v>6.48028142936493E-2</v>
      </c>
      <c r="N154">
        <v>51</v>
      </c>
      <c r="O154" t="s">
        <v>18</v>
      </c>
      <c r="P154">
        <v>2.8145695364238402E-2</v>
      </c>
      <c r="Q154">
        <v>12684</v>
      </c>
    </row>
    <row r="155" spans="1:17" x14ac:dyDescent="0.3">
      <c r="A155" t="s">
        <v>183</v>
      </c>
      <c r="B155" t="s">
        <v>20</v>
      </c>
      <c r="C155" s="1">
        <v>44765</v>
      </c>
      <c r="D155" s="1">
        <v>44770</v>
      </c>
      <c r="E155" t="s">
        <v>16</v>
      </c>
      <c r="F155">
        <v>5</v>
      </c>
      <c r="G155" t="s">
        <v>21</v>
      </c>
      <c r="H155">
        <v>662</v>
      </c>
      <c r="I155">
        <v>55.97</v>
      </c>
      <c r="J155">
        <v>50</v>
      </c>
      <c r="K155">
        <v>37052.14</v>
      </c>
      <c r="L155">
        <v>33100</v>
      </c>
      <c r="M155">
        <v>0.10666428443809201</v>
      </c>
      <c r="N155">
        <v>100</v>
      </c>
      <c r="O155" t="s">
        <v>18</v>
      </c>
      <c r="P155">
        <v>0.15105740181268901</v>
      </c>
      <c r="Q155">
        <v>3952.14</v>
      </c>
    </row>
    <row r="156" spans="1:17" x14ac:dyDescent="0.3">
      <c r="A156" t="s">
        <v>184</v>
      </c>
      <c r="B156" t="s">
        <v>26</v>
      </c>
      <c r="C156" s="1">
        <v>44718</v>
      </c>
      <c r="D156" s="1">
        <v>44723</v>
      </c>
      <c r="E156" t="s">
        <v>16</v>
      </c>
      <c r="F156">
        <v>5</v>
      </c>
      <c r="G156" t="s">
        <v>38</v>
      </c>
      <c r="H156">
        <v>1535</v>
      </c>
      <c r="I156">
        <v>40.58</v>
      </c>
      <c r="J156">
        <v>38.71</v>
      </c>
      <c r="K156">
        <v>62290.3</v>
      </c>
      <c r="L156">
        <v>59419.85</v>
      </c>
      <c r="M156">
        <v>4.6081813701330701E-2</v>
      </c>
      <c r="N156">
        <v>165</v>
      </c>
      <c r="O156" t="s">
        <v>18</v>
      </c>
      <c r="P156">
        <v>0.10749185667752401</v>
      </c>
      <c r="Q156">
        <v>2870.45</v>
      </c>
    </row>
    <row r="157" spans="1:17" x14ac:dyDescent="0.3">
      <c r="A157" t="s">
        <v>185</v>
      </c>
      <c r="B157" t="s">
        <v>26</v>
      </c>
      <c r="C157" s="1">
        <v>44944</v>
      </c>
      <c r="D157" s="1">
        <v>44953</v>
      </c>
      <c r="E157" t="s">
        <v>29</v>
      </c>
      <c r="F157">
        <v>9</v>
      </c>
      <c r="G157" t="s">
        <v>21</v>
      </c>
      <c r="H157">
        <v>692</v>
      </c>
      <c r="I157">
        <v>71.03</v>
      </c>
      <c r="J157">
        <v>67.739999999999995</v>
      </c>
      <c r="K157">
        <v>49152.76</v>
      </c>
      <c r="L157">
        <v>46876.08</v>
      </c>
      <c r="M157">
        <v>4.6318456990004399E-2</v>
      </c>
      <c r="N157">
        <v>70</v>
      </c>
      <c r="O157" t="s">
        <v>18</v>
      </c>
      <c r="P157">
        <v>0.10115606936416199</v>
      </c>
      <c r="Q157">
        <v>2276.6799999999998</v>
      </c>
    </row>
    <row r="158" spans="1:17" x14ac:dyDescent="0.3">
      <c r="A158" t="s">
        <v>186</v>
      </c>
      <c r="B158" t="s">
        <v>23</v>
      </c>
      <c r="C158" s="1">
        <v>44727</v>
      </c>
      <c r="D158" s="1">
        <v>44740</v>
      </c>
      <c r="E158" t="s">
        <v>24</v>
      </c>
      <c r="F158">
        <v>13</v>
      </c>
      <c r="G158" t="s">
        <v>21</v>
      </c>
      <c r="H158">
        <v>1842</v>
      </c>
      <c r="I158">
        <v>32.4</v>
      </c>
      <c r="J158">
        <v>28.08</v>
      </c>
      <c r="K158">
        <v>59680.800000000003</v>
      </c>
      <c r="L158">
        <v>51723.360000000001</v>
      </c>
      <c r="M158">
        <v>0.133333333333333</v>
      </c>
      <c r="N158">
        <v>96</v>
      </c>
      <c r="O158" t="s">
        <v>18</v>
      </c>
      <c r="P158">
        <v>5.2117263843648197E-2</v>
      </c>
      <c r="Q158">
        <v>7957.44</v>
      </c>
    </row>
    <row r="159" spans="1:17" x14ac:dyDescent="0.3">
      <c r="A159" t="s">
        <v>187</v>
      </c>
      <c r="B159" t="s">
        <v>26</v>
      </c>
      <c r="C159" s="1">
        <v>45114</v>
      </c>
      <c r="D159" s="1">
        <v>45125</v>
      </c>
      <c r="E159" t="s">
        <v>16</v>
      </c>
      <c r="F159">
        <v>11</v>
      </c>
      <c r="G159" t="s">
        <v>17</v>
      </c>
      <c r="H159">
        <v>1078</v>
      </c>
      <c r="I159">
        <v>18.34</v>
      </c>
      <c r="J159">
        <v>17.41</v>
      </c>
      <c r="K159">
        <v>19770.52</v>
      </c>
      <c r="L159">
        <v>18767.98</v>
      </c>
      <c r="M159">
        <v>5.0708833151581298E-2</v>
      </c>
      <c r="N159">
        <v>102</v>
      </c>
      <c r="O159" t="s">
        <v>18</v>
      </c>
      <c r="P159">
        <v>9.4619666048237502E-2</v>
      </c>
      <c r="Q159">
        <v>1002.54</v>
      </c>
    </row>
    <row r="160" spans="1:17" x14ac:dyDescent="0.3">
      <c r="A160" t="s">
        <v>188</v>
      </c>
      <c r="B160" t="s">
        <v>20</v>
      </c>
      <c r="C160" s="1">
        <v>45105</v>
      </c>
      <c r="D160" s="1">
        <v>45123</v>
      </c>
      <c r="E160" t="s">
        <v>27</v>
      </c>
      <c r="F160">
        <v>18</v>
      </c>
      <c r="G160" t="s">
        <v>21</v>
      </c>
      <c r="H160">
        <v>1291</v>
      </c>
      <c r="I160">
        <v>23.44</v>
      </c>
      <c r="J160">
        <v>22.23</v>
      </c>
      <c r="K160">
        <v>30261.040000000001</v>
      </c>
      <c r="L160">
        <v>28698.93</v>
      </c>
      <c r="M160">
        <v>5.1621160409556298E-2</v>
      </c>
      <c r="N160">
        <v>0</v>
      </c>
      <c r="O160" t="s">
        <v>18</v>
      </c>
      <c r="P160">
        <v>0</v>
      </c>
      <c r="Q160">
        <v>1562.11</v>
      </c>
    </row>
    <row r="161" spans="1:17" x14ac:dyDescent="0.3">
      <c r="A161" t="s">
        <v>189</v>
      </c>
      <c r="B161" t="s">
        <v>15</v>
      </c>
      <c r="C161" s="1">
        <v>44562</v>
      </c>
      <c r="D161" s="1">
        <v>44573</v>
      </c>
      <c r="E161" t="s">
        <v>42</v>
      </c>
      <c r="F161">
        <v>11</v>
      </c>
      <c r="G161" t="s">
        <v>21</v>
      </c>
      <c r="H161">
        <v>552</v>
      </c>
      <c r="I161">
        <v>21.52</v>
      </c>
      <c r="J161">
        <v>18.79</v>
      </c>
      <c r="K161">
        <v>11879.04</v>
      </c>
      <c r="L161">
        <v>10372.08</v>
      </c>
      <c r="M161">
        <v>0.12685873605948</v>
      </c>
      <c r="N161">
        <v>13</v>
      </c>
      <c r="O161" t="s">
        <v>18</v>
      </c>
      <c r="P161">
        <v>2.3550724637681202E-2</v>
      </c>
      <c r="Q161">
        <v>1506.96</v>
      </c>
    </row>
    <row r="162" spans="1:17" x14ac:dyDescent="0.3">
      <c r="A162" t="s">
        <v>190</v>
      </c>
      <c r="B162" t="s">
        <v>32</v>
      </c>
      <c r="C162" s="1">
        <v>45175</v>
      </c>
      <c r="D162" s="1">
        <v>45191</v>
      </c>
      <c r="E162" t="s">
        <v>42</v>
      </c>
      <c r="F162">
        <v>16</v>
      </c>
      <c r="G162" t="s">
        <v>21</v>
      </c>
      <c r="H162">
        <v>816</v>
      </c>
      <c r="I162">
        <v>26.04</v>
      </c>
      <c r="J162">
        <v>25.61</v>
      </c>
      <c r="K162">
        <v>21248.639999999999</v>
      </c>
      <c r="L162">
        <v>20897.759999999998</v>
      </c>
      <c r="M162">
        <v>1.6513056835637498E-2</v>
      </c>
      <c r="N162">
        <v>28</v>
      </c>
      <c r="O162" t="s">
        <v>18</v>
      </c>
      <c r="P162">
        <v>3.4313725490196102E-2</v>
      </c>
      <c r="Q162">
        <v>350.88</v>
      </c>
    </row>
    <row r="163" spans="1:17" x14ac:dyDescent="0.3">
      <c r="A163" t="s">
        <v>191</v>
      </c>
      <c r="B163" t="s">
        <v>20</v>
      </c>
      <c r="C163" s="1">
        <v>44893</v>
      </c>
      <c r="D163" s="1">
        <v>44895</v>
      </c>
      <c r="E163" t="s">
        <v>27</v>
      </c>
      <c r="F163">
        <v>2</v>
      </c>
      <c r="G163" t="s">
        <v>21</v>
      </c>
      <c r="H163">
        <v>447</v>
      </c>
      <c r="I163">
        <v>23.62</v>
      </c>
      <c r="J163">
        <v>21.81</v>
      </c>
      <c r="K163">
        <v>10558.14</v>
      </c>
      <c r="L163">
        <v>9749.07</v>
      </c>
      <c r="M163">
        <v>7.6629974597798606E-2</v>
      </c>
      <c r="N163">
        <v>50</v>
      </c>
      <c r="O163" t="s">
        <v>18</v>
      </c>
      <c r="P163">
        <v>0.111856823266219</v>
      </c>
      <c r="Q163">
        <v>809.07</v>
      </c>
    </row>
    <row r="164" spans="1:17" x14ac:dyDescent="0.3">
      <c r="A164" t="s">
        <v>192</v>
      </c>
      <c r="B164" t="s">
        <v>20</v>
      </c>
      <c r="C164" s="1">
        <v>45062</v>
      </c>
      <c r="D164" s="1">
        <v>45070</v>
      </c>
      <c r="E164" t="s">
        <v>27</v>
      </c>
      <c r="F164">
        <v>8</v>
      </c>
      <c r="G164" t="s">
        <v>36</v>
      </c>
      <c r="H164">
        <v>920</v>
      </c>
      <c r="I164">
        <v>73.09</v>
      </c>
      <c r="J164">
        <v>70.14</v>
      </c>
      <c r="K164">
        <v>67242.8</v>
      </c>
      <c r="L164">
        <v>64528.800000000003</v>
      </c>
      <c r="M164">
        <v>4.0361198522369697E-2</v>
      </c>
      <c r="N164">
        <v>0</v>
      </c>
      <c r="O164" t="s">
        <v>18</v>
      </c>
      <c r="P164">
        <v>0</v>
      </c>
      <c r="Q164">
        <v>2714</v>
      </c>
    </row>
    <row r="165" spans="1:17" x14ac:dyDescent="0.3">
      <c r="A165" t="s">
        <v>193</v>
      </c>
      <c r="B165" t="s">
        <v>32</v>
      </c>
      <c r="C165" s="1">
        <v>44581</v>
      </c>
      <c r="D165" s="1">
        <v>44591</v>
      </c>
      <c r="E165" t="s">
        <v>27</v>
      </c>
      <c r="F165">
        <v>10</v>
      </c>
      <c r="G165" t="s">
        <v>36</v>
      </c>
      <c r="H165">
        <v>844</v>
      </c>
      <c r="I165">
        <v>26.37</v>
      </c>
      <c r="J165">
        <v>25.08</v>
      </c>
      <c r="K165">
        <v>22256.28</v>
      </c>
      <c r="L165">
        <v>21167.52</v>
      </c>
      <c r="M165">
        <v>4.8919226393629403E-2</v>
      </c>
      <c r="N165">
        <v>38</v>
      </c>
      <c r="O165" t="s">
        <v>18</v>
      </c>
      <c r="P165">
        <v>4.5023696682464497E-2</v>
      </c>
      <c r="Q165">
        <v>1088.76</v>
      </c>
    </row>
    <row r="166" spans="1:17" x14ac:dyDescent="0.3">
      <c r="A166" t="s">
        <v>194</v>
      </c>
      <c r="B166" t="s">
        <v>26</v>
      </c>
      <c r="C166" s="1">
        <v>44933</v>
      </c>
      <c r="D166" s="1">
        <v>44947</v>
      </c>
      <c r="E166" t="s">
        <v>42</v>
      </c>
      <c r="F166">
        <v>14</v>
      </c>
      <c r="G166" t="s">
        <v>17</v>
      </c>
      <c r="H166">
        <v>256</v>
      </c>
      <c r="I166">
        <v>96.15</v>
      </c>
      <c r="J166">
        <v>83.44</v>
      </c>
      <c r="K166">
        <v>24614.400000000001</v>
      </c>
      <c r="L166">
        <v>21360.639999999999</v>
      </c>
      <c r="M166">
        <v>0.132189287571503</v>
      </c>
      <c r="N166">
        <v>26</v>
      </c>
      <c r="O166" t="s">
        <v>18</v>
      </c>
      <c r="P166">
        <v>0.1015625</v>
      </c>
      <c r="Q166">
        <v>3253.76</v>
      </c>
    </row>
    <row r="167" spans="1:17" x14ac:dyDescent="0.3">
      <c r="A167" t="s">
        <v>195</v>
      </c>
      <c r="B167" t="s">
        <v>26</v>
      </c>
      <c r="C167" s="1">
        <v>44807</v>
      </c>
      <c r="D167" s="1">
        <v>44811</v>
      </c>
      <c r="E167" t="s">
        <v>16</v>
      </c>
      <c r="F167">
        <v>4</v>
      </c>
      <c r="G167" t="s">
        <v>21</v>
      </c>
      <c r="H167">
        <v>1931</v>
      </c>
      <c r="I167">
        <v>72.88</v>
      </c>
      <c r="J167">
        <v>64.69</v>
      </c>
      <c r="K167">
        <v>140731.28</v>
      </c>
      <c r="L167">
        <v>124916.39</v>
      </c>
      <c r="M167">
        <v>0.11237650933040599</v>
      </c>
      <c r="N167">
        <v>187</v>
      </c>
      <c r="O167" t="s">
        <v>18</v>
      </c>
      <c r="P167">
        <v>9.6841015018125295E-2</v>
      </c>
      <c r="Q167">
        <v>15814.89</v>
      </c>
    </row>
    <row r="168" spans="1:17" x14ac:dyDescent="0.3">
      <c r="A168" t="s">
        <v>196</v>
      </c>
      <c r="B168" t="s">
        <v>23</v>
      </c>
      <c r="C168" s="1">
        <v>44621</v>
      </c>
      <c r="D168" s="1">
        <v>44631</v>
      </c>
      <c r="E168" t="s">
        <v>42</v>
      </c>
      <c r="F168">
        <v>10</v>
      </c>
      <c r="G168" t="s">
        <v>21</v>
      </c>
      <c r="H168">
        <v>1627</v>
      </c>
      <c r="I168">
        <v>25.76</v>
      </c>
      <c r="J168">
        <v>25.09</v>
      </c>
      <c r="K168">
        <v>41911.519999999997</v>
      </c>
      <c r="L168">
        <v>40821.43</v>
      </c>
      <c r="M168">
        <v>2.6009316770186398E-2</v>
      </c>
      <c r="N168">
        <v>74</v>
      </c>
      <c r="O168" t="s">
        <v>18</v>
      </c>
      <c r="P168">
        <v>4.5482483097725901E-2</v>
      </c>
      <c r="Q168">
        <v>1090.0899999999999</v>
      </c>
    </row>
    <row r="169" spans="1:17" x14ac:dyDescent="0.3">
      <c r="A169" t="s">
        <v>197</v>
      </c>
      <c r="B169" t="s">
        <v>23</v>
      </c>
      <c r="C169" s="1">
        <v>45142</v>
      </c>
      <c r="D169" s="1">
        <v>45144</v>
      </c>
      <c r="E169" t="s">
        <v>24</v>
      </c>
      <c r="F169">
        <v>2</v>
      </c>
      <c r="G169" t="s">
        <v>21</v>
      </c>
      <c r="H169">
        <v>1534</v>
      </c>
      <c r="I169">
        <v>14.98</v>
      </c>
      <c r="J169">
        <v>12.79</v>
      </c>
      <c r="K169">
        <v>22979.32</v>
      </c>
      <c r="L169">
        <v>19619.86</v>
      </c>
      <c r="M169">
        <v>0.14619492656875799</v>
      </c>
      <c r="N169">
        <v>0</v>
      </c>
      <c r="O169" t="s">
        <v>18</v>
      </c>
      <c r="P169">
        <v>0</v>
      </c>
      <c r="Q169">
        <v>3359.46</v>
      </c>
    </row>
    <row r="170" spans="1:17" x14ac:dyDescent="0.3">
      <c r="A170" t="s">
        <v>198</v>
      </c>
      <c r="B170" t="s">
        <v>15</v>
      </c>
      <c r="C170" s="1">
        <v>44642</v>
      </c>
      <c r="D170" s="1">
        <v>44654</v>
      </c>
      <c r="E170" t="s">
        <v>29</v>
      </c>
      <c r="F170">
        <v>12</v>
      </c>
      <c r="G170" t="s">
        <v>21</v>
      </c>
      <c r="H170">
        <v>1764</v>
      </c>
      <c r="I170">
        <v>25.46</v>
      </c>
      <c r="J170">
        <v>24.52</v>
      </c>
      <c r="K170">
        <v>44911.44</v>
      </c>
      <c r="L170">
        <v>43253.279999999999</v>
      </c>
      <c r="M170">
        <v>3.6920659858601802E-2</v>
      </c>
      <c r="N170">
        <v>46</v>
      </c>
      <c r="O170" t="s">
        <v>18</v>
      </c>
      <c r="P170">
        <v>2.60770975056689E-2</v>
      </c>
      <c r="Q170">
        <v>1658.16</v>
      </c>
    </row>
    <row r="171" spans="1:17" x14ac:dyDescent="0.3">
      <c r="A171" t="s">
        <v>199</v>
      </c>
      <c r="B171" t="s">
        <v>20</v>
      </c>
      <c r="C171" s="1">
        <v>44649</v>
      </c>
      <c r="D171" s="1">
        <v>44657</v>
      </c>
      <c r="E171" t="s">
        <v>42</v>
      </c>
      <c r="F171">
        <v>8</v>
      </c>
      <c r="G171" t="s">
        <v>21</v>
      </c>
      <c r="H171">
        <v>1648</v>
      </c>
      <c r="I171">
        <v>35.42</v>
      </c>
      <c r="J171">
        <v>31.46</v>
      </c>
      <c r="K171">
        <v>58372.160000000003</v>
      </c>
      <c r="L171">
        <v>51846.080000000002</v>
      </c>
      <c r="M171">
        <v>0.111801242236025</v>
      </c>
      <c r="N171">
        <v>0</v>
      </c>
      <c r="O171" t="s">
        <v>30</v>
      </c>
      <c r="P171">
        <v>0</v>
      </c>
      <c r="Q171">
        <v>6526.08</v>
      </c>
    </row>
    <row r="172" spans="1:17" x14ac:dyDescent="0.3">
      <c r="A172" t="s">
        <v>200</v>
      </c>
      <c r="B172" t="s">
        <v>23</v>
      </c>
      <c r="C172" s="1">
        <v>45059</v>
      </c>
      <c r="D172" s="1">
        <v>45078</v>
      </c>
      <c r="E172" t="s">
        <v>27</v>
      </c>
      <c r="F172">
        <v>19</v>
      </c>
      <c r="G172" t="s">
        <v>21</v>
      </c>
      <c r="H172">
        <v>913</v>
      </c>
      <c r="I172">
        <v>28.01</v>
      </c>
      <c r="J172">
        <v>24.06</v>
      </c>
      <c r="K172">
        <v>25573.13</v>
      </c>
      <c r="L172">
        <v>21966.78</v>
      </c>
      <c r="M172">
        <v>0.14102106390574801</v>
      </c>
      <c r="N172">
        <v>53</v>
      </c>
      <c r="O172" t="s">
        <v>18</v>
      </c>
      <c r="P172">
        <v>5.80503833515882E-2</v>
      </c>
      <c r="Q172">
        <v>3606.35</v>
      </c>
    </row>
    <row r="173" spans="1:17" x14ac:dyDescent="0.3">
      <c r="A173" t="s">
        <v>201</v>
      </c>
      <c r="B173" t="s">
        <v>15</v>
      </c>
      <c r="C173" s="1">
        <v>44632</v>
      </c>
      <c r="D173" s="1">
        <v>44638</v>
      </c>
      <c r="E173" t="s">
        <v>27</v>
      </c>
      <c r="F173">
        <v>6</v>
      </c>
      <c r="G173" t="s">
        <v>17</v>
      </c>
      <c r="H173">
        <v>792</v>
      </c>
      <c r="I173">
        <v>18.16</v>
      </c>
      <c r="J173">
        <v>17.25</v>
      </c>
      <c r="K173">
        <v>14382.72</v>
      </c>
      <c r="L173">
        <v>13662</v>
      </c>
      <c r="M173">
        <v>5.0110132158590302E-2</v>
      </c>
      <c r="N173">
        <v>17</v>
      </c>
      <c r="O173" t="s">
        <v>18</v>
      </c>
      <c r="P173">
        <v>2.1464646464646499E-2</v>
      </c>
      <c r="Q173">
        <v>720.72</v>
      </c>
    </row>
    <row r="174" spans="1:17" x14ac:dyDescent="0.3">
      <c r="A174" t="s">
        <v>202</v>
      </c>
      <c r="B174" t="s">
        <v>32</v>
      </c>
      <c r="C174" s="1">
        <v>45107</v>
      </c>
      <c r="D174" s="1">
        <v>45110</v>
      </c>
      <c r="E174" t="s">
        <v>16</v>
      </c>
      <c r="F174">
        <v>3</v>
      </c>
      <c r="G174" t="s">
        <v>36</v>
      </c>
      <c r="H174">
        <v>1314</v>
      </c>
      <c r="I174">
        <v>22.63</v>
      </c>
      <c r="J174">
        <v>21.06</v>
      </c>
      <c r="K174">
        <v>29735.82</v>
      </c>
      <c r="L174">
        <v>27672.84</v>
      </c>
      <c r="M174">
        <v>6.9376933274414604E-2</v>
      </c>
      <c r="N174">
        <v>44</v>
      </c>
      <c r="O174" t="s">
        <v>18</v>
      </c>
      <c r="P174">
        <v>3.3485540334855401E-2</v>
      </c>
      <c r="Q174">
        <v>2062.98</v>
      </c>
    </row>
    <row r="175" spans="1:17" x14ac:dyDescent="0.3">
      <c r="A175" t="s">
        <v>203</v>
      </c>
      <c r="B175" t="s">
        <v>26</v>
      </c>
      <c r="C175" s="1">
        <v>44690</v>
      </c>
      <c r="D175" s="1">
        <v>44703</v>
      </c>
      <c r="E175" t="s">
        <v>24</v>
      </c>
      <c r="F175">
        <v>13</v>
      </c>
      <c r="G175" t="s">
        <v>21</v>
      </c>
      <c r="H175">
        <v>613</v>
      </c>
      <c r="I175">
        <v>52.5</v>
      </c>
      <c r="J175">
        <v>45.19</v>
      </c>
      <c r="K175">
        <v>32182.5</v>
      </c>
      <c r="L175">
        <v>27701.47</v>
      </c>
      <c r="M175">
        <v>0.13923809523809499</v>
      </c>
      <c r="N175">
        <v>70</v>
      </c>
      <c r="O175" t="s">
        <v>18</v>
      </c>
      <c r="P175">
        <v>0.114192495921697</v>
      </c>
      <c r="Q175">
        <v>4481.03</v>
      </c>
    </row>
    <row r="176" spans="1:17" x14ac:dyDescent="0.3">
      <c r="A176" t="s">
        <v>204</v>
      </c>
      <c r="B176" t="s">
        <v>15</v>
      </c>
      <c r="C176" s="1">
        <v>44693</v>
      </c>
      <c r="D176" s="1">
        <v>44701</v>
      </c>
      <c r="E176" t="s">
        <v>16</v>
      </c>
      <c r="F176">
        <v>8</v>
      </c>
      <c r="G176" t="s">
        <v>21</v>
      </c>
      <c r="H176">
        <v>1070</v>
      </c>
      <c r="I176">
        <v>29.14</v>
      </c>
      <c r="J176">
        <v>26.63</v>
      </c>
      <c r="K176">
        <v>31179.8</v>
      </c>
      <c r="L176">
        <v>28494.1</v>
      </c>
      <c r="M176">
        <v>8.6135895676046695E-2</v>
      </c>
      <c r="N176">
        <v>24</v>
      </c>
      <c r="O176" t="s">
        <v>18</v>
      </c>
      <c r="P176">
        <v>2.2429906542056101E-2</v>
      </c>
      <c r="Q176">
        <v>2685.7</v>
      </c>
    </row>
    <row r="177" spans="1:17" x14ac:dyDescent="0.3">
      <c r="A177" t="s">
        <v>205</v>
      </c>
      <c r="B177" t="s">
        <v>23</v>
      </c>
      <c r="C177" s="1">
        <v>45237</v>
      </c>
      <c r="D177" s="1">
        <v>45256</v>
      </c>
      <c r="E177" t="s">
        <v>29</v>
      </c>
      <c r="F177">
        <v>19</v>
      </c>
      <c r="G177" t="s">
        <v>36</v>
      </c>
      <c r="H177">
        <v>145</v>
      </c>
      <c r="I177">
        <v>47.49</v>
      </c>
      <c r="J177">
        <v>42.76</v>
      </c>
      <c r="K177">
        <v>6886.05</v>
      </c>
      <c r="L177">
        <v>6200.2</v>
      </c>
      <c r="M177">
        <v>9.9599915771741501E-2</v>
      </c>
      <c r="N177">
        <v>6</v>
      </c>
      <c r="O177" t="s">
        <v>18</v>
      </c>
      <c r="P177">
        <v>4.13793103448276E-2</v>
      </c>
      <c r="Q177">
        <v>685.85</v>
      </c>
    </row>
    <row r="178" spans="1:17" x14ac:dyDescent="0.3">
      <c r="A178" t="s">
        <v>206</v>
      </c>
      <c r="B178" t="s">
        <v>20</v>
      </c>
      <c r="C178" s="1">
        <v>45048</v>
      </c>
      <c r="D178" s="1">
        <v>45063</v>
      </c>
      <c r="E178" t="s">
        <v>29</v>
      </c>
      <c r="F178">
        <v>15</v>
      </c>
      <c r="G178" t="s">
        <v>21</v>
      </c>
      <c r="H178">
        <v>1973</v>
      </c>
      <c r="I178">
        <v>59.73</v>
      </c>
      <c r="J178">
        <v>54.95</v>
      </c>
      <c r="K178">
        <v>117847.29</v>
      </c>
      <c r="L178">
        <v>108416.35</v>
      </c>
      <c r="M178">
        <v>8.0026787209107594E-2</v>
      </c>
      <c r="N178">
        <v>291</v>
      </c>
      <c r="O178" t="s">
        <v>18</v>
      </c>
      <c r="P178">
        <v>0.14749113025849001</v>
      </c>
      <c r="Q178">
        <v>9430.94</v>
      </c>
    </row>
    <row r="179" spans="1:17" x14ac:dyDescent="0.3">
      <c r="A179" t="s">
        <v>207</v>
      </c>
      <c r="B179" t="s">
        <v>32</v>
      </c>
      <c r="C179" s="1">
        <v>45124</v>
      </c>
      <c r="D179" s="1">
        <v>45139</v>
      </c>
      <c r="E179" t="s">
        <v>16</v>
      </c>
      <c r="F179">
        <v>15</v>
      </c>
      <c r="G179" t="s">
        <v>21</v>
      </c>
      <c r="H179">
        <v>1807</v>
      </c>
      <c r="I179">
        <v>78.63</v>
      </c>
      <c r="J179">
        <v>73.08</v>
      </c>
      <c r="K179">
        <v>142084.41</v>
      </c>
      <c r="L179">
        <v>132055.56</v>
      </c>
      <c r="M179">
        <v>7.0583746661579599E-2</v>
      </c>
      <c r="N179">
        <v>100</v>
      </c>
      <c r="O179" t="s">
        <v>18</v>
      </c>
      <c r="P179">
        <v>5.5340343110127303E-2</v>
      </c>
      <c r="Q179">
        <v>10028.85</v>
      </c>
    </row>
    <row r="180" spans="1:17" x14ac:dyDescent="0.3">
      <c r="A180" t="s">
        <v>208</v>
      </c>
      <c r="B180" t="s">
        <v>32</v>
      </c>
      <c r="C180" s="1">
        <v>44731</v>
      </c>
      <c r="D180" s="1">
        <v>44732</v>
      </c>
      <c r="E180" t="s">
        <v>42</v>
      </c>
      <c r="F180">
        <v>1</v>
      </c>
      <c r="G180" t="s">
        <v>21</v>
      </c>
      <c r="H180">
        <v>534</v>
      </c>
      <c r="I180">
        <v>13.88</v>
      </c>
      <c r="J180">
        <v>12.51</v>
      </c>
      <c r="K180">
        <v>7411.92</v>
      </c>
      <c r="L180">
        <v>6680.34</v>
      </c>
      <c r="M180">
        <v>9.8703170028818399E-2</v>
      </c>
      <c r="N180">
        <v>100</v>
      </c>
      <c r="O180" t="s">
        <v>18</v>
      </c>
      <c r="P180">
        <v>0.18726591760299599</v>
      </c>
      <c r="Q180">
        <v>731.58</v>
      </c>
    </row>
    <row r="181" spans="1:17" x14ac:dyDescent="0.3">
      <c r="A181" t="s">
        <v>209</v>
      </c>
      <c r="B181" t="s">
        <v>15</v>
      </c>
      <c r="C181" s="1">
        <v>44833</v>
      </c>
      <c r="D181" s="1">
        <v>44848</v>
      </c>
      <c r="E181" t="s">
        <v>42</v>
      </c>
      <c r="F181">
        <v>15</v>
      </c>
      <c r="G181" t="s">
        <v>21</v>
      </c>
      <c r="H181">
        <v>1480</v>
      </c>
      <c r="I181">
        <v>85.22</v>
      </c>
      <c r="J181">
        <v>75.48</v>
      </c>
      <c r="K181">
        <v>126125.6</v>
      </c>
      <c r="L181">
        <v>111710.39999999999</v>
      </c>
      <c r="M181">
        <v>0.114292419619807</v>
      </c>
      <c r="N181">
        <v>100</v>
      </c>
      <c r="O181" t="s">
        <v>18</v>
      </c>
      <c r="P181">
        <v>6.7567567567567599E-2</v>
      </c>
      <c r="Q181">
        <v>14415.2</v>
      </c>
    </row>
    <row r="182" spans="1:17" x14ac:dyDescent="0.3">
      <c r="A182" t="s">
        <v>210</v>
      </c>
      <c r="B182" t="s">
        <v>26</v>
      </c>
      <c r="C182" s="1">
        <v>45183</v>
      </c>
      <c r="D182" s="1">
        <v>45189</v>
      </c>
      <c r="E182" t="s">
        <v>16</v>
      </c>
      <c r="F182">
        <v>6</v>
      </c>
      <c r="G182" t="s">
        <v>17</v>
      </c>
      <c r="H182">
        <v>798</v>
      </c>
      <c r="I182">
        <v>19.09</v>
      </c>
      <c r="J182">
        <v>17.760000000000002</v>
      </c>
      <c r="K182">
        <v>15233.82</v>
      </c>
      <c r="L182">
        <v>14172.48</v>
      </c>
      <c r="M182">
        <v>6.9669984284965805E-2</v>
      </c>
      <c r="N182">
        <v>100</v>
      </c>
      <c r="O182" t="s">
        <v>18</v>
      </c>
      <c r="P182">
        <v>0.12531328320801999</v>
      </c>
      <c r="Q182">
        <v>1061.3399999999999</v>
      </c>
    </row>
    <row r="183" spans="1:17" x14ac:dyDescent="0.3">
      <c r="A183" t="s">
        <v>211</v>
      </c>
      <c r="B183" t="s">
        <v>32</v>
      </c>
      <c r="C183" s="1">
        <v>44995</v>
      </c>
      <c r="D183" s="1">
        <v>45007</v>
      </c>
      <c r="E183" t="s">
        <v>42</v>
      </c>
      <c r="F183">
        <v>12</v>
      </c>
      <c r="G183" t="s">
        <v>21</v>
      </c>
      <c r="H183">
        <v>1728</v>
      </c>
      <c r="I183">
        <v>94.83</v>
      </c>
      <c r="J183">
        <v>90.2</v>
      </c>
      <c r="K183">
        <v>163866.23999999999</v>
      </c>
      <c r="L183">
        <v>155865.60000000001</v>
      </c>
      <c r="M183">
        <v>4.8824211747337302E-2</v>
      </c>
      <c r="N183">
        <v>100</v>
      </c>
      <c r="O183" t="s">
        <v>18</v>
      </c>
      <c r="P183">
        <v>5.7870370370370398E-2</v>
      </c>
      <c r="Q183">
        <v>8000.64</v>
      </c>
    </row>
    <row r="184" spans="1:17" x14ac:dyDescent="0.3">
      <c r="A184" t="s">
        <v>212</v>
      </c>
      <c r="B184" t="s">
        <v>26</v>
      </c>
      <c r="C184" s="1">
        <v>45114</v>
      </c>
      <c r="D184" s="1">
        <v>45128</v>
      </c>
      <c r="E184" t="s">
        <v>16</v>
      </c>
      <c r="F184">
        <v>14</v>
      </c>
      <c r="G184" t="s">
        <v>21</v>
      </c>
      <c r="H184">
        <v>590</v>
      </c>
      <c r="I184">
        <v>16.89</v>
      </c>
      <c r="J184">
        <v>15.56</v>
      </c>
      <c r="K184">
        <v>9965.1</v>
      </c>
      <c r="L184">
        <v>9180.4</v>
      </c>
      <c r="M184">
        <v>7.8744819419775097E-2</v>
      </c>
      <c r="N184">
        <v>46</v>
      </c>
      <c r="O184" t="s">
        <v>30</v>
      </c>
      <c r="P184">
        <v>7.7966101694915302E-2</v>
      </c>
      <c r="Q184">
        <v>784.7</v>
      </c>
    </row>
    <row r="185" spans="1:17" x14ac:dyDescent="0.3">
      <c r="A185" t="s">
        <v>213</v>
      </c>
      <c r="B185" t="s">
        <v>20</v>
      </c>
      <c r="C185" s="1">
        <v>45268</v>
      </c>
      <c r="D185" s="1">
        <v>45283</v>
      </c>
      <c r="E185" t="s">
        <v>27</v>
      </c>
      <c r="F185">
        <v>15</v>
      </c>
      <c r="G185" t="s">
        <v>21</v>
      </c>
      <c r="H185">
        <v>1109</v>
      </c>
      <c r="I185">
        <v>38.93</v>
      </c>
      <c r="J185">
        <v>33.33</v>
      </c>
      <c r="K185">
        <v>43173.37</v>
      </c>
      <c r="L185">
        <v>36962.97</v>
      </c>
      <c r="M185">
        <v>0.143847932185975</v>
      </c>
      <c r="N185">
        <v>152</v>
      </c>
      <c r="O185" t="s">
        <v>18</v>
      </c>
      <c r="P185">
        <v>0.137060414788097</v>
      </c>
      <c r="Q185">
        <v>6210.4</v>
      </c>
    </row>
    <row r="186" spans="1:17" x14ac:dyDescent="0.3">
      <c r="A186" t="s">
        <v>214</v>
      </c>
      <c r="B186" t="s">
        <v>26</v>
      </c>
      <c r="C186" s="1">
        <v>44767</v>
      </c>
      <c r="D186" s="1">
        <v>44774</v>
      </c>
      <c r="E186" t="s">
        <v>24</v>
      </c>
      <c r="F186">
        <v>7</v>
      </c>
      <c r="G186" t="s">
        <v>21</v>
      </c>
      <c r="H186">
        <v>574</v>
      </c>
      <c r="I186">
        <v>85.03</v>
      </c>
      <c r="J186">
        <v>82.55</v>
      </c>
      <c r="K186">
        <v>48807.22</v>
      </c>
      <c r="L186">
        <v>47383.7</v>
      </c>
      <c r="M186">
        <v>2.9166176643537701E-2</v>
      </c>
      <c r="N186">
        <v>54</v>
      </c>
      <c r="O186" t="s">
        <v>18</v>
      </c>
      <c r="P186">
        <v>9.4076655052264799E-2</v>
      </c>
      <c r="Q186">
        <v>1423.52</v>
      </c>
    </row>
    <row r="187" spans="1:17" x14ac:dyDescent="0.3">
      <c r="A187" t="s">
        <v>215</v>
      </c>
      <c r="B187" t="s">
        <v>23</v>
      </c>
      <c r="C187" s="1">
        <v>44881</v>
      </c>
      <c r="D187" s="1">
        <v>44885</v>
      </c>
      <c r="E187" t="s">
        <v>27</v>
      </c>
      <c r="F187">
        <v>4</v>
      </c>
      <c r="G187" t="s">
        <v>21</v>
      </c>
      <c r="H187">
        <v>1912</v>
      </c>
      <c r="I187">
        <v>27.94</v>
      </c>
      <c r="J187">
        <v>25.59</v>
      </c>
      <c r="K187">
        <v>53421.279999999999</v>
      </c>
      <c r="L187">
        <v>48928.08</v>
      </c>
      <c r="M187">
        <v>8.4108804581245505E-2</v>
      </c>
      <c r="N187">
        <v>83</v>
      </c>
      <c r="O187" t="s">
        <v>30</v>
      </c>
      <c r="P187">
        <v>4.34100418410042E-2</v>
      </c>
      <c r="Q187">
        <v>4493.2</v>
      </c>
    </row>
    <row r="188" spans="1:17" x14ac:dyDescent="0.3">
      <c r="A188" t="s">
        <v>216</v>
      </c>
      <c r="B188" t="s">
        <v>15</v>
      </c>
      <c r="C188" s="1">
        <v>44970</v>
      </c>
      <c r="D188" s="1">
        <v>44989</v>
      </c>
      <c r="E188" t="s">
        <v>27</v>
      </c>
      <c r="F188">
        <v>19</v>
      </c>
      <c r="G188" t="s">
        <v>21</v>
      </c>
      <c r="H188">
        <v>1772</v>
      </c>
      <c r="I188">
        <v>30.72</v>
      </c>
      <c r="J188">
        <v>27.76</v>
      </c>
      <c r="K188">
        <v>54435.839999999997</v>
      </c>
      <c r="L188">
        <v>49190.720000000001</v>
      </c>
      <c r="M188">
        <v>9.6354166666666602E-2</v>
      </c>
      <c r="N188">
        <v>46</v>
      </c>
      <c r="O188" t="s">
        <v>30</v>
      </c>
      <c r="P188">
        <v>2.5959367945823899E-2</v>
      </c>
      <c r="Q188">
        <v>5245.12</v>
      </c>
    </row>
    <row r="189" spans="1:17" x14ac:dyDescent="0.3">
      <c r="A189" t="s">
        <v>217</v>
      </c>
      <c r="B189" t="s">
        <v>26</v>
      </c>
      <c r="C189" s="1">
        <v>45249</v>
      </c>
      <c r="D189" s="1">
        <v>45259</v>
      </c>
      <c r="E189" t="s">
        <v>16</v>
      </c>
      <c r="F189">
        <v>10</v>
      </c>
      <c r="G189" t="s">
        <v>21</v>
      </c>
      <c r="H189">
        <v>1316</v>
      </c>
      <c r="I189">
        <v>48.11</v>
      </c>
      <c r="J189">
        <v>41.9</v>
      </c>
      <c r="K189">
        <v>63312.76</v>
      </c>
      <c r="L189">
        <v>55140.4</v>
      </c>
      <c r="M189">
        <v>0.129079193514862</v>
      </c>
      <c r="N189">
        <v>135</v>
      </c>
      <c r="O189" t="s">
        <v>18</v>
      </c>
      <c r="P189">
        <v>0.10258358662614001</v>
      </c>
      <c r="Q189">
        <v>8172.36</v>
      </c>
    </row>
    <row r="190" spans="1:17" x14ac:dyDescent="0.3">
      <c r="A190" t="s">
        <v>218</v>
      </c>
      <c r="B190" t="s">
        <v>15</v>
      </c>
      <c r="C190" s="1">
        <v>44944</v>
      </c>
      <c r="D190" s="1">
        <v>44957</v>
      </c>
      <c r="E190" t="s">
        <v>16</v>
      </c>
      <c r="F190">
        <v>13</v>
      </c>
      <c r="G190" t="s">
        <v>21</v>
      </c>
      <c r="H190">
        <v>1869</v>
      </c>
      <c r="I190">
        <v>69.58</v>
      </c>
      <c r="J190">
        <v>67.5</v>
      </c>
      <c r="K190">
        <v>130045.02</v>
      </c>
      <c r="L190">
        <v>126157.5</v>
      </c>
      <c r="M190">
        <v>2.9893647599885099E-2</v>
      </c>
      <c r="N190">
        <v>31</v>
      </c>
      <c r="O190" t="s">
        <v>18</v>
      </c>
      <c r="P190">
        <v>1.6586409844836801E-2</v>
      </c>
      <c r="Q190">
        <v>3887.52</v>
      </c>
    </row>
    <row r="191" spans="1:17" x14ac:dyDescent="0.3">
      <c r="A191" t="s">
        <v>219</v>
      </c>
      <c r="B191" t="s">
        <v>20</v>
      </c>
      <c r="C191" s="1">
        <v>45010</v>
      </c>
      <c r="D191" s="1">
        <v>45029</v>
      </c>
      <c r="E191" t="s">
        <v>27</v>
      </c>
      <c r="F191">
        <v>19</v>
      </c>
      <c r="G191" t="s">
        <v>21</v>
      </c>
      <c r="H191">
        <v>627</v>
      </c>
      <c r="I191">
        <v>46.23</v>
      </c>
      <c r="J191">
        <v>42.87</v>
      </c>
      <c r="K191">
        <v>28986.21</v>
      </c>
      <c r="L191">
        <v>26879.49</v>
      </c>
      <c r="M191">
        <v>7.2680077871511997E-2</v>
      </c>
      <c r="N191">
        <v>0</v>
      </c>
      <c r="O191" t="s">
        <v>18</v>
      </c>
      <c r="P191">
        <v>0</v>
      </c>
      <c r="Q191">
        <v>2106.7199999999998</v>
      </c>
    </row>
    <row r="192" spans="1:17" x14ac:dyDescent="0.3">
      <c r="A192" t="s">
        <v>220</v>
      </c>
      <c r="B192" t="s">
        <v>26</v>
      </c>
      <c r="C192" s="1">
        <v>45091</v>
      </c>
      <c r="D192" s="1">
        <v>45093</v>
      </c>
      <c r="E192" t="s">
        <v>29</v>
      </c>
      <c r="F192">
        <v>2</v>
      </c>
      <c r="G192" t="s">
        <v>38</v>
      </c>
      <c r="H192">
        <v>731</v>
      </c>
      <c r="I192">
        <v>56.02</v>
      </c>
      <c r="J192">
        <v>54.78</v>
      </c>
      <c r="K192">
        <v>40950.620000000003</v>
      </c>
      <c r="L192">
        <v>40044.18</v>
      </c>
      <c r="M192">
        <v>2.2134951802927599E-2</v>
      </c>
      <c r="N192">
        <v>70</v>
      </c>
      <c r="O192" t="s">
        <v>30</v>
      </c>
      <c r="P192">
        <v>9.5759233926128604E-2</v>
      </c>
      <c r="Q192">
        <v>906.44</v>
      </c>
    </row>
    <row r="193" spans="1:17" x14ac:dyDescent="0.3">
      <c r="A193" t="s">
        <v>221</v>
      </c>
      <c r="B193" t="s">
        <v>26</v>
      </c>
      <c r="C193" s="1">
        <v>44685</v>
      </c>
      <c r="D193" s="1">
        <v>44695</v>
      </c>
      <c r="E193" t="s">
        <v>16</v>
      </c>
      <c r="F193">
        <v>10</v>
      </c>
      <c r="G193" t="s">
        <v>21</v>
      </c>
      <c r="H193">
        <v>1647</v>
      </c>
      <c r="I193">
        <v>13.57</v>
      </c>
      <c r="J193">
        <v>12.33</v>
      </c>
      <c r="K193">
        <v>22349.79</v>
      </c>
      <c r="L193">
        <v>20307.509999999998</v>
      </c>
      <c r="M193">
        <v>9.1378039793662602E-2</v>
      </c>
      <c r="N193">
        <v>157</v>
      </c>
      <c r="O193" t="s">
        <v>18</v>
      </c>
      <c r="P193">
        <v>9.5324833029751102E-2</v>
      </c>
      <c r="Q193">
        <v>2042.28</v>
      </c>
    </row>
    <row r="194" spans="1:17" x14ac:dyDescent="0.3">
      <c r="A194" t="s">
        <v>222</v>
      </c>
      <c r="B194" t="s">
        <v>20</v>
      </c>
      <c r="C194" s="1">
        <v>44815</v>
      </c>
      <c r="D194" s="1">
        <v>44823</v>
      </c>
      <c r="E194" t="s">
        <v>24</v>
      </c>
      <c r="F194">
        <v>8</v>
      </c>
      <c r="G194" t="s">
        <v>21</v>
      </c>
      <c r="H194">
        <v>1062</v>
      </c>
      <c r="I194">
        <v>34.03</v>
      </c>
      <c r="J194">
        <v>30.46</v>
      </c>
      <c r="K194">
        <v>36139.86</v>
      </c>
      <c r="L194">
        <v>32348.52</v>
      </c>
      <c r="M194">
        <v>0.104907434616515</v>
      </c>
      <c r="N194">
        <v>0</v>
      </c>
      <c r="O194" t="s">
        <v>18</v>
      </c>
      <c r="P194">
        <v>0</v>
      </c>
      <c r="Q194">
        <v>3791.34</v>
      </c>
    </row>
    <row r="195" spans="1:17" x14ac:dyDescent="0.3">
      <c r="A195" t="s">
        <v>223</v>
      </c>
      <c r="B195" t="s">
        <v>26</v>
      </c>
      <c r="C195" s="1">
        <v>44792</v>
      </c>
      <c r="D195" s="1">
        <v>44804</v>
      </c>
      <c r="E195" t="s">
        <v>16</v>
      </c>
      <c r="F195">
        <v>12</v>
      </c>
      <c r="G195" t="s">
        <v>21</v>
      </c>
      <c r="H195">
        <v>695</v>
      </c>
      <c r="I195">
        <v>76.8</v>
      </c>
      <c r="J195">
        <v>69.760000000000005</v>
      </c>
      <c r="K195">
        <v>53376</v>
      </c>
      <c r="L195">
        <v>48483.199999999997</v>
      </c>
      <c r="M195">
        <v>9.1666666666666605E-2</v>
      </c>
      <c r="N195">
        <v>0</v>
      </c>
      <c r="O195" t="s">
        <v>30</v>
      </c>
      <c r="P195">
        <v>0</v>
      </c>
      <c r="Q195">
        <v>4892.8</v>
      </c>
    </row>
    <row r="196" spans="1:17" x14ac:dyDescent="0.3">
      <c r="A196" t="s">
        <v>224</v>
      </c>
      <c r="B196" t="s">
        <v>32</v>
      </c>
      <c r="C196" s="1">
        <v>44627</v>
      </c>
      <c r="D196" s="1">
        <v>44634</v>
      </c>
      <c r="E196" t="s">
        <v>24</v>
      </c>
      <c r="F196">
        <v>7</v>
      </c>
      <c r="G196" t="s">
        <v>21</v>
      </c>
      <c r="H196">
        <v>845</v>
      </c>
      <c r="I196">
        <v>91.47</v>
      </c>
      <c r="J196">
        <v>86.97</v>
      </c>
      <c r="K196">
        <v>77292.149999999994</v>
      </c>
      <c r="L196">
        <v>73489.649999999994</v>
      </c>
      <c r="M196">
        <v>4.9196457855034403E-2</v>
      </c>
      <c r="N196">
        <v>0</v>
      </c>
      <c r="O196" t="s">
        <v>18</v>
      </c>
      <c r="P196">
        <v>0</v>
      </c>
      <c r="Q196">
        <v>3802.5</v>
      </c>
    </row>
    <row r="197" spans="1:17" x14ac:dyDescent="0.3">
      <c r="A197" t="s">
        <v>225</v>
      </c>
      <c r="B197" t="s">
        <v>23</v>
      </c>
      <c r="C197" s="1">
        <v>44908</v>
      </c>
      <c r="D197" s="1">
        <v>44913</v>
      </c>
      <c r="E197" t="s">
        <v>24</v>
      </c>
      <c r="F197">
        <v>5</v>
      </c>
      <c r="G197" t="s">
        <v>21</v>
      </c>
      <c r="H197">
        <v>1101</v>
      </c>
      <c r="I197">
        <v>59.13</v>
      </c>
      <c r="J197">
        <v>52.51</v>
      </c>
      <c r="K197">
        <v>65102.13</v>
      </c>
      <c r="L197">
        <v>57813.51</v>
      </c>
      <c r="M197">
        <v>0.11195670556401199</v>
      </c>
      <c r="N197">
        <v>54</v>
      </c>
      <c r="O197" t="s">
        <v>18</v>
      </c>
      <c r="P197">
        <v>4.9046321525885603E-2</v>
      </c>
      <c r="Q197">
        <v>7288.62</v>
      </c>
    </row>
    <row r="198" spans="1:17" x14ac:dyDescent="0.3">
      <c r="A198" t="s">
        <v>226</v>
      </c>
      <c r="B198" t="s">
        <v>23</v>
      </c>
      <c r="C198" s="1">
        <v>44583</v>
      </c>
      <c r="D198" s="1">
        <v>44585</v>
      </c>
      <c r="E198" t="s">
        <v>29</v>
      </c>
      <c r="F198">
        <v>2</v>
      </c>
      <c r="G198" t="s">
        <v>21</v>
      </c>
      <c r="H198">
        <v>1693</v>
      </c>
      <c r="I198">
        <v>57.89</v>
      </c>
      <c r="J198">
        <v>49.84</v>
      </c>
      <c r="K198">
        <v>98007.77</v>
      </c>
      <c r="L198">
        <v>84379.12</v>
      </c>
      <c r="M198">
        <v>0.13905683192261201</v>
      </c>
      <c r="N198">
        <v>88</v>
      </c>
      <c r="O198" t="s">
        <v>18</v>
      </c>
      <c r="P198">
        <v>5.1978735971648003E-2</v>
      </c>
      <c r="Q198">
        <v>13628.65</v>
      </c>
    </row>
    <row r="199" spans="1:17" x14ac:dyDescent="0.3">
      <c r="A199" t="s">
        <v>227</v>
      </c>
      <c r="B199" t="s">
        <v>20</v>
      </c>
      <c r="C199" s="1">
        <v>45164</v>
      </c>
      <c r="D199" s="1">
        <v>45179</v>
      </c>
      <c r="E199" t="s">
        <v>16</v>
      </c>
      <c r="F199">
        <v>15</v>
      </c>
      <c r="G199" t="s">
        <v>17</v>
      </c>
      <c r="H199">
        <v>1629</v>
      </c>
      <c r="I199">
        <v>21.51</v>
      </c>
      <c r="J199">
        <v>19.41</v>
      </c>
      <c r="K199">
        <v>35039.79</v>
      </c>
      <c r="L199">
        <v>31618.89</v>
      </c>
      <c r="M199">
        <v>9.7629009762900995E-2</v>
      </c>
      <c r="N199">
        <v>250</v>
      </c>
      <c r="O199" t="s">
        <v>30</v>
      </c>
      <c r="P199">
        <v>0.15346838551258399</v>
      </c>
      <c r="Q199">
        <v>3420.9</v>
      </c>
    </row>
    <row r="200" spans="1:17" x14ac:dyDescent="0.3">
      <c r="A200" t="s">
        <v>228</v>
      </c>
      <c r="B200" t="s">
        <v>20</v>
      </c>
      <c r="C200" s="1">
        <v>45129</v>
      </c>
      <c r="D200" s="1">
        <v>45141</v>
      </c>
      <c r="E200" t="s">
        <v>29</v>
      </c>
      <c r="F200">
        <v>12</v>
      </c>
      <c r="G200" t="s">
        <v>21</v>
      </c>
      <c r="H200">
        <v>1413</v>
      </c>
      <c r="I200">
        <v>54.79</v>
      </c>
      <c r="J200">
        <v>50.42</v>
      </c>
      <c r="K200">
        <v>77418.27</v>
      </c>
      <c r="L200">
        <v>71243.460000000006</v>
      </c>
      <c r="M200">
        <v>7.9759080124110204E-2</v>
      </c>
      <c r="N200">
        <v>0</v>
      </c>
      <c r="O200" t="s">
        <v>18</v>
      </c>
      <c r="P200">
        <v>0</v>
      </c>
      <c r="Q200">
        <v>6174.81</v>
      </c>
    </row>
    <row r="201" spans="1:17" x14ac:dyDescent="0.3">
      <c r="A201" t="s">
        <v>229</v>
      </c>
      <c r="B201" t="s">
        <v>32</v>
      </c>
      <c r="C201" s="1">
        <v>44797</v>
      </c>
      <c r="D201" s="1">
        <v>44800</v>
      </c>
      <c r="E201" t="s">
        <v>27</v>
      </c>
      <c r="F201">
        <v>3</v>
      </c>
      <c r="G201" t="s">
        <v>21</v>
      </c>
      <c r="H201">
        <v>1871</v>
      </c>
      <c r="I201">
        <v>59.96</v>
      </c>
      <c r="J201">
        <v>58.54</v>
      </c>
      <c r="K201">
        <v>112185.16</v>
      </c>
      <c r="L201">
        <v>109528.34</v>
      </c>
      <c r="M201">
        <v>2.3682454969980001E-2</v>
      </c>
      <c r="N201">
        <v>47</v>
      </c>
      <c r="O201" t="s">
        <v>18</v>
      </c>
      <c r="P201">
        <v>2.51202565473009E-2</v>
      </c>
      <c r="Q201">
        <v>2656.82</v>
      </c>
    </row>
    <row r="202" spans="1:17" x14ac:dyDescent="0.3">
      <c r="A202" t="s">
        <v>230</v>
      </c>
      <c r="B202" t="s">
        <v>23</v>
      </c>
      <c r="C202" s="1">
        <v>44787</v>
      </c>
      <c r="D202" s="1">
        <v>44801</v>
      </c>
      <c r="E202" t="s">
        <v>42</v>
      </c>
      <c r="F202">
        <v>14</v>
      </c>
      <c r="G202" t="s">
        <v>21</v>
      </c>
      <c r="H202">
        <v>1713</v>
      </c>
      <c r="I202">
        <v>35.43</v>
      </c>
      <c r="J202">
        <v>34.11</v>
      </c>
      <c r="K202">
        <v>60691.59</v>
      </c>
      <c r="L202">
        <v>58430.43</v>
      </c>
      <c r="M202">
        <v>3.7256562235393698E-2</v>
      </c>
      <c r="N202">
        <v>74</v>
      </c>
      <c r="O202" t="s">
        <v>18</v>
      </c>
      <c r="P202">
        <v>4.3199065966141301E-2</v>
      </c>
      <c r="Q202">
        <v>2261.16</v>
      </c>
    </row>
    <row r="203" spans="1:17" x14ac:dyDescent="0.3">
      <c r="A203" t="s">
        <v>231</v>
      </c>
      <c r="B203" t="s">
        <v>23</v>
      </c>
      <c r="C203" s="1">
        <v>44569</v>
      </c>
      <c r="D203" s="1">
        <v>44574</v>
      </c>
      <c r="E203" t="s">
        <v>42</v>
      </c>
      <c r="F203">
        <v>5</v>
      </c>
      <c r="G203" t="s">
        <v>21</v>
      </c>
      <c r="H203">
        <v>1579</v>
      </c>
      <c r="I203">
        <v>43.96</v>
      </c>
      <c r="J203">
        <v>43.41</v>
      </c>
      <c r="K203">
        <v>69412.84</v>
      </c>
      <c r="L203">
        <v>68544.39</v>
      </c>
      <c r="M203">
        <v>1.25113739763421E-2</v>
      </c>
      <c r="N203">
        <v>74</v>
      </c>
      <c r="O203" t="s">
        <v>18</v>
      </c>
      <c r="P203">
        <v>4.6865104496516798E-2</v>
      </c>
      <c r="Q203">
        <v>868.45</v>
      </c>
    </row>
    <row r="204" spans="1:17" x14ac:dyDescent="0.3">
      <c r="A204" t="s">
        <v>232</v>
      </c>
      <c r="B204" t="s">
        <v>23</v>
      </c>
      <c r="C204" s="1">
        <v>44634</v>
      </c>
      <c r="D204" s="1">
        <v>44646</v>
      </c>
      <c r="E204" t="s">
        <v>42</v>
      </c>
      <c r="F204">
        <v>12</v>
      </c>
      <c r="G204" t="s">
        <v>21</v>
      </c>
      <c r="H204">
        <v>1421</v>
      </c>
      <c r="I204">
        <v>11.92</v>
      </c>
      <c r="J204">
        <v>11.72</v>
      </c>
      <c r="K204">
        <v>16938.32</v>
      </c>
      <c r="L204">
        <v>16654.12</v>
      </c>
      <c r="M204">
        <v>1.6778523489932699E-2</v>
      </c>
      <c r="N204">
        <v>76</v>
      </c>
      <c r="O204" t="s">
        <v>18</v>
      </c>
      <c r="P204">
        <v>5.3483462350457402E-2</v>
      </c>
      <c r="Q204">
        <v>284.2</v>
      </c>
    </row>
    <row r="205" spans="1:17" x14ac:dyDescent="0.3">
      <c r="A205" t="s">
        <v>233</v>
      </c>
      <c r="B205" t="s">
        <v>32</v>
      </c>
      <c r="C205" s="1">
        <v>45286</v>
      </c>
      <c r="D205" s="1">
        <v>45295</v>
      </c>
      <c r="E205" t="s">
        <v>24</v>
      </c>
      <c r="F205">
        <v>9</v>
      </c>
      <c r="G205" t="s">
        <v>21</v>
      </c>
      <c r="H205">
        <v>1546</v>
      </c>
      <c r="I205">
        <v>43.47</v>
      </c>
      <c r="J205">
        <v>37.369999999999997</v>
      </c>
      <c r="K205">
        <v>67204.62</v>
      </c>
      <c r="L205">
        <v>57774.02</v>
      </c>
      <c r="M205">
        <v>0.140326662065792</v>
      </c>
      <c r="N205">
        <v>53</v>
      </c>
      <c r="O205" t="s">
        <v>18</v>
      </c>
      <c r="P205">
        <v>3.4282018111254801E-2</v>
      </c>
      <c r="Q205">
        <v>9430.6</v>
      </c>
    </row>
    <row r="206" spans="1:17" x14ac:dyDescent="0.3">
      <c r="A206" t="s">
        <v>234</v>
      </c>
      <c r="B206" t="s">
        <v>20</v>
      </c>
      <c r="C206" s="1">
        <v>45208</v>
      </c>
      <c r="D206" s="1">
        <v>45217</v>
      </c>
      <c r="E206" t="s">
        <v>42</v>
      </c>
      <c r="F206">
        <v>9</v>
      </c>
      <c r="G206" t="s">
        <v>21</v>
      </c>
      <c r="H206">
        <v>1304</v>
      </c>
      <c r="I206">
        <v>32.08</v>
      </c>
      <c r="J206">
        <v>29.36</v>
      </c>
      <c r="K206">
        <v>41832.32</v>
      </c>
      <c r="L206">
        <v>38285.440000000002</v>
      </c>
      <c r="M206">
        <v>8.4788029925186997E-2</v>
      </c>
      <c r="N206">
        <v>0</v>
      </c>
      <c r="O206" t="s">
        <v>18</v>
      </c>
      <c r="P206">
        <v>0</v>
      </c>
      <c r="Q206">
        <v>3546.88</v>
      </c>
    </row>
    <row r="207" spans="1:17" x14ac:dyDescent="0.3">
      <c r="A207" t="s">
        <v>235</v>
      </c>
      <c r="B207" t="s">
        <v>23</v>
      </c>
      <c r="C207" s="1">
        <v>44594</v>
      </c>
      <c r="D207" s="1">
        <v>44605</v>
      </c>
      <c r="E207" t="s">
        <v>24</v>
      </c>
      <c r="F207">
        <v>11</v>
      </c>
      <c r="G207" t="s">
        <v>21</v>
      </c>
      <c r="H207">
        <v>1450</v>
      </c>
      <c r="I207">
        <v>63.74</v>
      </c>
      <c r="J207">
        <v>59.11</v>
      </c>
      <c r="K207">
        <v>92423</v>
      </c>
      <c r="L207">
        <v>85709.5</v>
      </c>
      <c r="M207">
        <v>7.2638845309068098E-2</v>
      </c>
      <c r="N207">
        <v>71</v>
      </c>
      <c r="O207" t="s">
        <v>18</v>
      </c>
      <c r="P207">
        <v>4.8965517241379299E-2</v>
      </c>
      <c r="Q207">
        <v>6713.5</v>
      </c>
    </row>
    <row r="208" spans="1:17" x14ac:dyDescent="0.3">
      <c r="A208" t="s">
        <v>236</v>
      </c>
      <c r="B208" t="s">
        <v>26</v>
      </c>
      <c r="C208" s="1">
        <v>44900</v>
      </c>
      <c r="D208" s="1">
        <v>44915</v>
      </c>
      <c r="E208" t="s">
        <v>42</v>
      </c>
      <c r="F208">
        <v>15</v>
      </c>
      <c r="G208" t="s">
        <v>21</v>
      </c>
      <c r="H208">
        <v>1356</v>
      </c>
      <c r="I208">
        <v>75.03</v>
      </c>
      <c r="J208">
        <v>63.86</v>
      </c>
      <c r="K208">
        <v>101740.68</v>
      </c>
      <c r="L208">
        <v>86594.16</v>
      </c>
      <c r="M208">
        <v>0.14887378381980501</v>
      </c>
      <c r="N208">
        <v>131</v>
      </c>
      <c r="O208" t="s">
        <v>18</v>
      </c>
      <c r="P208">
        <v>9.6607669616519204E-2</v>
      </c>
      <c r="Q208">
        <v>15146.52</v>
      </c>
    </row>
    <row r="209" spans="1:17" x14ac:dyDescent="0.3">
      <c r="A209" t="s">
        <v>237</v>
      </c>
      <c r="B209" t="s">
        <v>23</v>
      </c>
      <c r="C209" s="1">
        <v>45088</v>
      </c>
      <c r="D209" s="1">
        <v>45096</v>
      </c>
      <c r="E209" t="s">
        <v>27</v>
      </c>
      <c r="F209">
        <v>8</v>
      </c>
      <c r="G209" t="s">
        <v>21</v>
      </c>
      <c r="H209">
        <v>677</v>
      </c>
      <c r="I209">
        <v>59.52</v>
      </c>
      <c r="J209">
        <v>55.29</v>
      </c>
      <c r="K209">
        <v>40295.040000000001</v>
      </c>
      <c r="L209">
        <v>37431.33</v>
      </c>
      <c r="M209">
        <v>7.1068548387096794E-2</v>
      </c>
      <c r="N209">
        <v>39</v>
      </c>
      <c r="O209" t="s">
        <v>18</v>
      </c>
      <c r="P209">
        <v>5.7607090103397297E-2</v>
      </c>
      <c r="Q209">
        <v>2863.71</v>
      </c>
    </row>
    <row r="210" spans="1:17" x14ac:dyDescent="0.3">
      <c r="A210" t="s">
        <v>238</v>
      </c>
      <c r="B210" t="s">
        <v>20</v>
      </c>
      <c r="C210" s="1">
        <v>44805</v>
      </c>
      <c r="D210" s="1">
        <v>44818</v>
      </c>
      <c r="E210" t="s">
        <v>16</v>
      </c>
      <c r="F210">
        <v>13</v>
      </c>
      <c r="G210" t="s">
        <v>21</v>
      </c>
      <c r="H210">
        <v>1022</v>
      </c>
      <c r="I210">
        <v>18.54</v>
      </c>
      <c r="J210">
        <v>16.55</v>
      </c>
      <c r="K210">
        <v>18947.88</v>
      </c>
      <c r="L210">
        <v>16914.099999999999</v>
      </c>
      <c r="M210">
        <v>0.107335490830636</v>
      </c>
      <c r="N210">
        <v>150</v>
      </c>
      <c r="O210" t="s">
        <v>18</v>
      </c>
      <c r="P210">
        <v>0.14677103718199599</v>
      </c>
      <c r="Q210">
        <v>2033.78</v>
      </c>
    </row>
    <row r="211" spans="1:17" x14ac:dyDescent="0.3">
      <c r="A211" t="s">
        <v>239</v>
      </c>
      <c r="B211" t="s">
        <v>32</v>
      </c>
      <c r="C211" s="1">
        <v>45247</v>
      </c>
      <c r="D211" s="1">
        <v>45259</v>
      </c>
      <c r="E211" t="s">
        <v>42</v>
      </c>
      <c r="F211">
        <v>12</v>
      </c>
      <c r="G211" t="s">
        <v>21</v>
      </c>
      <c r="H211">
        <v>1332</v>
      </c>
      <c r="I211">
        <v>69.73</v>
      </c>
      <c r="J211">
        <v>63.8</v>
      </c>
      <c r="K211">
        <v>92880.36</v>
      </c>
      <c r="L211">
        <v>84981.6</v>
      </c>
      <c r="M211">
        <v>8.5042306037573595E-2</v>
      </c>
      <c r="N211">
        <v>41</v>
      </c>
      <c r="O211" t="s">
        <v>18</v>
      </c>
      <c r="P211">
        <v>3.0780780780780798E-2</v>
      </c>
      <c r="Q211">
        <v>7898.76</v>
      </c>
    </row>
    <row r="212" spans="1:17" x14ac:dyDescent="0.3">
      <c r="A212" t="s">
        <v>240</v>
      </c>
      <c r="B212" t="s">
        <v>26</v>
      </c>
      <c r="C212" s="1">
        <v>45059</v>
      </c>
      <c r="D212" s="1">
        <v>45072</v>
      </c>
      <c r="E212" t="s">
        <v>29</v>
      </c>
      <c r="F212">
        <v>13</v>
      </c>
      <c r="G212" t="s">
        <v>21</v>
      </c>
      <c r="H212">
        <v>1432</v>
      </c>
      <c r="I212">
        <v>83.26</v>
      </c>
      <c r="J212">
        <v>77.67</v>
      </c>
      <c r="K212">
        <v>119228.32</v>
      </c>
      <c r="L212">
        <v>111223.44</v>
      </c>
      <c r="M212">
        <v>6.7139082392505406E-2</v>
      </c>
      <c r="N212">
        <v>174</v>
      </c>
      <c r="O212" t="s">
        <v>18</v>
      </c>
      <c r="P212">
        <v>0.121508379888268</v>
      </c>
      <c r="Q212">
        <v>8004.88</v>
      </c>
    </row>
    <row r="213" spans="1:17" x14ac:dyDescent="0.3">
      <c r="A213" t="s">
        <v>241</v>
      </c>
      <c r="B213" t="s">
        <v>26</v>
      </c>
      <c r="C213" s="1">
        <v>44781</v>
      </c>
      <c r="D213" s="1">
        <v>44799</v>
      </c>
      <c r="E213" t="s">
        <v>27</v>
      </c>
      <c r="F213">
        <v>18</v>
      </c>
      <c r="G213" t="s">
        <v>38</v>
      </c>
      <c r="H213">
        <v>759</v>
      </c>
      <c r="I213">
        <v>50.56</v>
      </c>
      <c r="J213">
        <v>46.47</v>
      </c>
      <c r="K213">
        <v>38375.040000000001</v>
      </c>
      <c r="L213">
        <v>35270.730000000003</v>
      </c>
      <c r="M213">
        <v>8.0893987341772305E-2</v>
      </c>
      <c r="N213">
        <v>63</v>
      </c>
      <c r="O213" t="s">
        <v>30</v>
      </c>
      <c r="P213">
        <v>8.3003952569169995E-2</v>
      </c>
      <c r="Q213">
        <v>3104.31</v>
      </c>
    </row>
    <row r="214" spans="1:17" x14ac:dyDescent="0.3">
      <c r="A214" t="s">
        <v>242</v>
      </c>
      <c r="B214" t="s">
        <v>15</v>
      </c>
      <c r="C214" s="1">
        <v>45114</v>
      </c>
      <c r="D214" s="1">
        <v>45126</v>
      </c>
      <c r="E214" t="s">
        <v>27</v>
      </c>
      <c r="F214">
        <v>12</v>
      </c>
      <c r="G214" t="s">
        <v>21</v>
      </c>
      <c r="H214">
        <v>1529</v>
      </c>
      <c r="I214">
        <v>23.42</v>
      </c>
      <c r="J214">
        <v>22.44</v>
      </c>
      <c r="K214">
        <v>35809.18</v>
      </c>
      <c r="L214">
        <v>34310.76</v>
      </c>
      <c r="M214">
        <v>4.1844577284372297E-2</v>
      </c>
      <c r="N214">
        <v>30</v>
      </c>
      <c r="O214" t="s">
        <v>18</v>
      </c>
      <c r="P214">
        <v>1.96206671026815E-2</v>
      </c>
      <c r="Q214">
        <v>1498.42</v>
      </c>
    </row>
    <row r="215" spans="1:17" x14ac:dyDescent="0.3">
      <c r="A215" t="s">
        <v>243</v>
      </c>
      <c r="B215" t="s">
        <v>23</v>
      </c>
      <c r="C215" s="1">
        <v>44697</v>
      </c>
      <c r="D215" s="1">
        <v>44706</v>
      </c>
      <c r="E215" t="s">
        <v>42</v>
      </c>
      <c r="F215">
        <v>9</v>
      </c>
      <c r="G215" t="s">
        <v>21</v>
      </c>
      <c r="H215">
        <v>1484</v>
      </c>
      <c r="I215">
        <v>36.25</v>
      </c>
      <c r="J215">
        <v>31.8</v>
      </c>
      <c r="K215">
        <v>53795</v>
      </c>
      <c r="L215">
        <v>47191.199999999997</v>
      </c>
      <c r="M215">
        <v>0.122758620689655</v>
      </c>
      <c r="N215">
        <v>61</v>
      </c>
      <c r="O215" t="s">
        <v>18</v>
      </c>
      <c r="P215">
        <v>4.1105121293800499E-2</v>
      </c>
      <c r="Q215">
        <v>6603.8</v>
      </c>
    </row>
    <row r="216" spans="1:17" x14ac:dyDescent="0.3">
      <c r="A216" t="s">
        <v>244</v>
      </c>
      <c r="B216" t="s">
        <v>32</v>
      </c>
      <c r="C216" s="1">
        <v>45146</v>
      </c>
      <c r="D216" s="1">
        <v>45158</v>
      </c>
      <c r="E216" t="s">
        <v>27</v>
      </c>
      <c r="F216">
        <v>12</v>
      </c>
      <c r="G216" t="s">
        <v>21</v>
      </c>
      <c r="H216">
        <v>698</v>
      </c>
      <c r="I216">
        <v>46.73</v>
      </c>
      <c r="J216">
        <v>45.61</v>
      </c>
      <c r="K216">
        <v>32617.54</v>
      </c>
      <c r="L216">
        <v>31835.78</v>
      </c>
      <c r="M216">
        <v>2.3967472715600201E-2</v>
      </c>
      <c r="N216">
        <v>15</v>
      </c>
      <c r="O216" t="s">
        <v>18</v>
      </c>
      <c r="P216">
        <v>2.1489971346704901E-2</v>
      </c>
      <c r="Q216">
        <v>781.76</v>
      </c>
    </row>
    <row r="217" spans="1:17" x14ac:dyDescent="0.3">
      <c r="A217" t="s">
        <v>245</v>
      </c>
      <c r="B217" t="s">
        <v>32</v>
      </c>
      <c r="C217" s="1">
        <v>45152</v>
      </c>
      <c r="D217" s="1">
        <v>45160</v>
      </c>
      <c r="E217" t="s">
        <v>27</v>
      </c>
      <c r="F217">
        <v>8</v>
      </c>
      <c r="G217" t="s">
        <v>38</v>
      </c>
      <c r="H217">
        <v>367</v>
      </c>
      <c r="I217">
        <v>74.61</v>
      </c>
      <c r="J217">
        <v>71.36</v>
      </c>
      <c r="K217">
        <v>27381.87</v>
      </c>
      <c r="L217">
        <v>26189.119999999999</v>
      </c>
      <c r="M217">
        <v>4.3559844524862598E-2</v>
      </c>
      <c r="N217">
        <v>13</v>
      </c>
      <c r="O217" t="s">
        <v>18</v>
      </c>
      <c r="P217">
        <v>3.5422343324250698E-2</v>
      </c>
      <c r="Q217">
        <v>1192.75</v>
      </c>
    </row>
    <row r="218" spans="1:17" x14ac:dyDescent="0.3">
      <c r="A218" t="s">
        <v>246</v>
      </c>
      <c r="B218" t="s">
        <v>32</v>
      </c>
      <c r="C218" s="1">
        <v>45046</v>
      </c>
      <c r="D218" s="1">
        <v>45066</v>
      </c>
      <c r="E218" t="s">
        <v>16</v>
      </c>
      <c r="F218">
        <v>20</v>
      </c>
      <c r="G218" t="s">
        <v>36</v>
      </c>
      <c r="H218">
        <v>1750</v>
      </c>
      <c r="I218">
        <v>65.97</v>
      </c>
      <c r="J218">
        <v>58.34</v>
      </c>
      <c r="K218">
        <v>115447.5</v>
      </c>
      <c r="L218">
        <v>102095</v>
      </c>
      <c r="M218">
        <v>0.115658632711839</v>
      </c>
      <c r="N218">
        <v>50</v>
      </c>
      <c r="O218" t="s">
        <v>18</v>
      </c>
      <c r="P218">
        <v>2.8571428571428598E-2</v>
      </c>
      <c r="Q218">
        <v>13352.5</v>
      </c>
    </row>
    <row r="219" spans="1:17" x14ac:dyDescent="0.3">
      <c r="A219" t="s">
        <v>247</v>
      </c>
      <c r="B219" t="s">
        <v>20</v>
      </c>
      <c r="C219" s="1">
        <v>44810</v>
      </c>
      <c r="D219" s="1">
        <v>44828</v>
      </c>
      <c r="E219" t="s">
        <v>16</v>
      </c>
      <c r="F219">
        <v>18</v>
      </c>
      <c r="G219" t="s">
        <v>36</v>
      </c>
      <c r="H219">
        <v>1298</v>
      </c>
      <c r="I219">
        <v>43.73</v>
      </c>
      <c r="J219">
        <v>37.21</v>
      </c>
      <c r="K219">
        <v>56761.54</v>
      </c>
      <c r="L219">
        <v>48298.58</v>
      </c>
      <c r="M219">
        <v>0.149096729933684</v>
      </c>
      <c r="N219">
        <v>0</v>
      </c>
      <c r="O219" t="s">
        <v>30</v>
      </c>
      <c r="P219">
        <v>0</v>
      </c>
      <c r="Q219">
        <v>8462.9599999999991</v>
      </c>
    </row>
    <row r="220" spans="1:17" x14ac:dyDescent="0.3">
      <c r="A220" t="s">
        <v>248</v>
      </c>
      <c r="B220" t="s">
        <v>23</v>
      </c>
      <c r="C220" s="1">
        <v>45046</v>
      </c>
      <c r="D220" s="1">
        <v>45066</v>
      </c>
      <c r="E220" t="s">
        <v>27</v>
      </c>
      <c r="F220">
        <v>20</v>
      </c>
      <c r="G220" t="s">
        <v>21</v>
      </c>
      <c r="H220">
        <v>1892</v>
      </c>
      <c r="I220">
        <v>106.2</v>
      </c>
      <c r="J220">
        <v>96.37</v>
      </c>
      <c r="K220">
        <v>200930.4</v>
      </c>
      <c r="L220">
        <v>182332.04</v>
      </c>
      <c r="M220">
        <v>9.2561205273069602E-2</v>
      </c>
      <c r="N220">
        <v>93</v>
      </c>
      <c r="O220" t="s">
        <v>18</v>
      </c>
      <c r="P220">
        <v>4.9154334038054998E-2</v>
      </c>
      <c r="Q220">
        <v>18598.36</v>
      </c>
    </row>
    <row r="221" spans="1:17" x14ac:dyDescent="0.3">
      <c r="A221" t="s">
        <v>249</v>
      </c>
      <c r="B221" t="s">
        <v>26</v>
      </c>
      <c r="C221" s="1">
        <v>44978</v>
      </c>
      <c r="D221" s="1">
        <v>44981</v>
      </c>
      <c r="E221" t="s">
        <v>42</v>
      </c>
      <c r="F221">
        <v>3</v>
      </c>
      <c r="G221" t="s">
        <v>21</v>
      </c>
      <c r="H221">
        <v>1307</v>
      </c>
      <c r="I221">
        <v>68.709999999999994</v>
      </c>
      <c r="J221">
        <v>60.64</v>
      </c>
      <c r="K221">
        <v>89803.97</v>
      </c>
      <c r="L221">
        <v>79256.479999999996</v>
      </c>
      <c r="M221">
        <v>0.117450152816184</v>
      </c>
      <c r="N221">
        <v>141</v>
      </c>
      <c r="O221" t="s">
        <v>18</v>
      </c>
      <c r="P221">
        <v>0.107880642693191</v>
      </c>
      <c r="Q221">
        <v>10547.49</v>
      </c>
    </row>
    <row r="222" spans="1:17" x14ac:dyDescent="0.3">
      <c r="A222" t="s">
        <v>250</v>
      </c>
      <c r="B222" t="s">
        <v>26</v>
      </c>
      <c r="C222" s="1">
        <v>44756</v>
      </c>
      <c r="D222" s="1">
        <v>44771</v>
      </c>
      <c r="E222" t="s">
        <v>42</v>
      </c>
      <c r="F222">
        <v>15</v>
      </c>
      <c r="G222" t="s">
        <v>21</v>
      </c>
      <c r="H222">
        <v>733</v>
      </c>
      <c r="I222">
        <v>32.29</v>
      </c>
      <c r="J222">
        <v>29.01</v>
      </c>
      <c r="K222">
        <v>23668.57</v>
      </c>
      <c r="L222">
        <v>21264.33</v>
      </c>
      <c r="M222">
        <v>0.101579436358006</v>
      </c>
      <c r="N222">
        <v>78</v>
      </c>
      <c r="O222" t="s">
        <v>18</v>
      </c>
      <c r="P222">
        <v>0.106412005457026</v>
      </c>
      <c r="Q222">
        <v>2404.2399999999998</v>
      </c>
    </row>
    <row r="223" spans="1:17" x14ac:dyDescent="0.3">
      <c r="A223" t="s">
        <v>251</v>
      </c>
      <c r="B223" t="s">
        <v>26</v>
      </c>
      <c r="C223" s="1">
        <v>44661</v>
      </c>
      <c r="D223" s="1">
        <v>44675</v>
      </c>
      <c r="E223" t="s">
        <v>27</v>
      </c>
      <c r="F223">
        <v>14</v>
      </c>
      <c r="G223" t="s">
        <v>21</v>
      </c>
      <c r="H223">
        <v>1900</v>
      </c>
      <c r="I223">
        <v>24.11</v>
      </c>
      <c r="J223">
        <v>23.45</v>
      </c>
      <c r="K223">
        <v>45809</v>
      </c>
      <c r="L223">
        <v>44555</v>
      </c>
      <c r="M223">
        <v>2.7374533388635401E-2</v>
      </c>
      <c r="N223">
        <v>188</v>
      </c>
      <c r="O223" t="s">
        <v>18</v>
      </c>
      <c r="P223">
        <v>9.8947368421052603E-2</v>
      </c>
      <c r="Q223">
        <v>1254</v>
      </c>
    </row>
    <row r="224" spans="1:17" x14ac:dyDescent="0.3">
      <c r="A224" t="s">
        <v>252</v>
      </c>
      <c r="B224" t="s">
        <v>20</v>
      </c>
      <c r="C224" s="1">
        <v>45236</v>
      </c>
      <c r="D224" s="1">
        <v>45238</v>
      </c>
      <c r="E224" t="s">
        <v>24</v>
      </c>
      <c r="F224">
        <v>2</v>
      </c>
      <c r="G224" t="s">
        <v>17</v>
      </c>
      <c r="H224">
        <v>1447</v>
      </c>
      <c r="I224">
        <v>35.67</v>
      </c>
      <c r="J224">
        <v>35.07</v>
      </c>
      <c r="K224">
        <v>51614.49</v>
      </c>
      <c r="L224">
        <v>50746.29</v>
      </c>
      <c r="M224">
        <v>1.68208578637511E-2</v>
      </c>
      <c r="N224">
        <v>224</v>
      </c>
      <c r="O224" t="s">
        <v>30</v>
      </c>
      <c r="P224">
        <v>0.15480304077401499</v>
      </c>
      <c r="Q224">
        <v>868.2</v>
      </c>
    </row>
    <row r="225" spans="1:17" x14ac:dyDescent="0.3">
      <c r="A225" t="s">
        <v>253</v>
      </c>
      <c r="B225" t="s">
        <v>26</v>
      </c>
      <c r="C225" s="1">
        <v>44924</v>
      </c>
      <c r="D225" s="1">
        <v>44940</v>
      </c>
      <c r="E225" t="s">
        <v>16</v>
      </c>
      <c r="F225">
        <v>16</v>
      </c>
      <c r="G225" t="s">
        <v>21</v>
      </c>
      <c r="H225">
        <v>1681</v>
      </c>
      <c r="I225">
        <v>28.26</v>
      </c>
      <c r="J225">
        <v>26.62</v>
      </c>
      <c r="K225">
        <v>47505.06</v>
      </c>
      <c r="L225">
        <v>44748.22</v>
      </c>
      <c r="M225">
        <v>5.8032554847841603E-2</v>
      </c>
      <c r="N225">
        <v>143</v>
      </c>
      <c r="O225" t="s">
        <v>18</v>
      </c>
      <c r="P225">
        <v>8.5068411659726395E-2</v>
      </c>
      <c r="Q225">
        <v>2756.84</v>
      </c>
    </row>
    <row r="226" spans="1:17" x14ac:dyDescent="0.3">
      <c r="A226" t="s">
        <v>254</v>
      </c>
      <c r="B226" t="s">
        <v>20</v>
      </c>
      <c r="C226" s="1">
        <v>44995</v>
      </c>
      <c r="D226" s="1">
        <v>45003</v>
      </c>
      <c r="E226" t="s">
        <v>42</v>
      </c>
      <c r="F226">
        <v>8</v>
      </c>
      <c r="G226" t="s">
        <v>21</v>
      </c>
      <c r="H226">
        <v>1545</v>
      </c>
      <c r="I226">
        <v>38.15</v>
      </c>
      <c r="J226">
        <v>36.96</v>
      </c>
      <c r="K226">
        <v>58941.75</v>
      </c>
      <c r="L226">
        <v>57103.199999999997</v>
      </c>
      <c r="M226">
        <v>3.1192660550458599E-2</v>
      </c>
      <c r="N226">
        <v>214</v>
      </c>
      <c r="O226" t="s">
        <v>18</v>
      </c>
      <c r="P226">
        <v>0.138511326860841</v>
      </c>
      <c r="Q226">
        <v>1838.55</v>
      </c>
    </row>
    <row r="227" spans="1:17" x14ac:dyDescent="0.3">
      <c r="A227" t="s">
        <v>255</v>
      </c>
      <c r="B227" t="s">
        <v>32</v>
      </c>
      <c r="C227" s="1">
        <v>44982</v>
      </c>
      <c r="D227" s="1">
        <v>44987</v>
      </c>
      <c r="E227" t="s">
        <v>29</v>
      </c>
      <c r="F227">
        <v>5</v>
      </c>
      <c r="G227" t="s">
        <v>21</v>
      </c>
      <c r="H227">
        <v>1306</v>
      </c>
      <c r="I227">
        <v>27.27</v>
      </c>
      <c r="J227">
        <v>25.96</v>
      </c>
      <c r="K227">
        <v>35614.620000000003</v>
      </c>
      <c r="L227">
        <v>33903.760000000002</v>
      </c>
      <c r="M227">
        <v>4.8038137147048E-2</v>
      </c>
      <c r="N227">
        <v>39</v>
      </c>
      <c r="O227" t="s">
        <v>18</v>
      </c>
      <c r="P227">
        <v>2.98621745788668E-2</v>
      </c>
      <c r="Q227">
        <v>1710.86</v>
      </c>
    </row>
    <row r="228" spans="1:17" x14ac:dyDescent="0.3">
      <c r="A228" t="s">
        <v>256</v>
      </c>
      <c r="B228" t="s">
        <v>23</v>
      </c>
      <c r="C228" s="1">
        <v>45040</v>
      </c>
      <c r="D228" s="1">
        <v>45052</v>
      </c>
      <c r="E228" t="s">
        <v>29</v>
      </c>
      <c r="F228">
        <v>12</v>
      </c>
      <c r="G228" t="s">
        <v>21</v>
      </c>
      <c r="H228">
        <v>1765</v>
      </c>
      <c r="I228">
        <v>97.51</v>
      </c>
      <c r="J228">
        <v>84.3</v>
      </c>
      <c r="K228">
        <v>172105.15</v>
      </c>
      <c r="L228">
        <v>148789.5</v>
      </c>
      <c r="M228">
        <v>0.13547328479130399</v>
      </c>
      <c r="N228">
        <v>65</v>
      </c>
      <c r="O228" t="s">
        <v>18</v>
      </c>
      <c r="P228">
        <v>3.6827195467422101E-2</v>
      </c>
      <c r="Q228">
        <v>23315.65</v>
      </c>
    </row>
    <row r="229" spans="1:17" x14ac:dyDescent="0.3">
      <c r="A229" t="s">
        <v>257</v>
      </c>
      <c r="B229" t="s">
        <v>23</v>
      </c>
      <c r="C229" s="1">
        <v>44617</v>
      </c>
      <c r="D229" s="1">
        <v>44635</v>
      </c>
      <c r="E229" t="s">
        <v>27</v>
      </c>
      <c r="F229">
        <v>18</v>
      </c>
      <c r="G229" t="s">
        <v>17</v>
      </c>
      <c r="H229">
        <v>1186</v>
      </c>
      <c r="I229">
        <v>17.309999999999999</v>
      </c>
      <c r="J229">
        <v>16</v>
      </c>
      <c r="K229">
        <v>20529.66</v>
      </c>
      <c r="L229">
        <v>18976</v>
      </c>
      <c r="M229">
        <v>7.5678798382437906E-2</v>
      </c>
      <c r="N229">
        <v>64</v>
      </c>
      <c r="O229" t="s">
        <v>18</v>
      </c>
      <c r="P229">
        <v>5.3962900505902203E-2</v>
      </c>
      <c r="Q229">
        <v>1553.66</v>
      </c>
    </row>
    <row r="230" spans="1:17" x14ac:dyDescent="0.3">
      <c r="A230" t="s">
        <v>258</v>
      </c>
      <c r="B230" t="s">
        <v>20</v>
      </c>
      <c r="C230" s="1">
        <v>45251</v>
      </c>
      <c r="D230" s="1">
        <v>45256</v>
      </c>
      <c r="E230" t="s">
        <v>27</v>
      </c>
      <c r="F230">
        <v>5</v>
      </c>
      <c r="G230" t="s">
        <v>21</v>
      </c>
      <c r="H230">
        <v>1903</v>
      </c>
      <c r="I230">
        <v>63.5</v>
      </c>
      <c r="J230">
        <v>56.09</v>
      </c>
      <c r="K230">
        <v>120840.5</v>
      </c>
      <c r="L230">
        <v>106739.27</v>
      </c>
      <c r="M230">
        <v>0.116692913385827</v>
      </c>
      <c r="N230">
        <v>254</v>
      </c>
      <c r="O230" t="s">
        <v>18</v>
      </c>
      <c r="P230">
        <v>0.13347346295323201</v>
      </c>
      <c r="Q230">
        <v>14101.23</v>
      </c>
    </row>
    <row r="231" spans="1:17" x14ac:dyDescent="0.3">
      <c r="A231" t="s">
        <v>259</v>
      </c>
      <c r="B231" t="s">
        <v>20</v>
      </c>
      <c r="C231" s="1">
        <v>45231</v>
      </c>
      <c r="D231" s="1">
        <v>45235</v>
      </c>
      <c r="E231" t="s">
        <v>24</v>
      </c>
      <c r="F231">
        <v>4</v>
      </c>
      <c r="G231" t="s">
        <v>21</v>
      </c>
      <c r="H231">
        <v>1570</v>
      </c>
      <c r="I231">
        <v>52.1</v>
      </c>
      <c r="J231">
        <v>47.87</v>
      </c>
      <c r="K231">
        <v>81797</v>
      </c>
      <c r="L231">
        <v>75155.899999999994</v>
      </c>
      <c r="M231">
        <v>8.1190019193858001E-2</v>
      </c>
      <c r="N231">
        <v>0</v>
      </c>
      <c r="O231" t="s">
        <v>30</v>
      </c>
      <c r="P231">
        <v>0</v>
      </c>
      <c r="Q231">
        <v>6641.1</v>
      </c>
    </row>
    <row r="232" spans="1:17" x14ac:dyDescent="0.3">
      <c r="A232" t="s">
        <v>260</v>
      </c>
      <c r="B232" t="s">
        <v>20</v>
      </c>
      <c r="C232" s="1">
        <v>45223</v>
      </c>
      <c r="D232" s="1">
        <v>45243</v>
      </c>
      <c r="E232" t="s">
        <v>24</v>
      </c>
      <c r="F232">
        <v>20</v>
      </c>
      <c r="G232" t="s">
        <v>21</v>
      </c>
      <c r="H232">
        <v>491</v>
      </c>
      <c r="I232">
        <v>108.75</v>
      </c>
      <c r="J232">
        <v>93.35</v>
      </c>
      <c r="K232">
        <v>53396.25</v>
      </c>
      <c r="L232">
        <v>45834.85</v>
      </c>
      <c r="M232">
        <v>0.14160919540229899</v>
      </c>
      <c r="N232">
        <v>0</v>
      </c>
      <c r="O232" t="s">
        <v>30</v>
      </c>
      <c r="P232">
        <v>0</v>
      </c>
      <c r="Q232">
        <v>7561.4</v>
      </c>
    </row>
    <row r="233" spans="1:17" x14ac:dyDescent="0.3">
      <c r="A233" t="s">
        <v>261</v>
      </c>
      <c r="B233" t="s">
        <v>26</v>
      </c>
      <c r="C233" s="1">
        <v>44662</v>
      </c>
      <c r="D233" s="1">
        <v>44671</v>
      </c>
      <c r="E233" t="s">
        <v>42</v>
      </c>
      <c r="F233">
        <v>9</v>
      </c>
      <c r="G233" t="s">
        <v>36</v>
      </c>
      <c r="H233">
        <v>613</v>
      </c>
      <c r="I233">
        <v>20.38</v>
      </c>
      <c r="J233">
        <v>20.170000000000002</v>
      </c>
      <c r="K233">
        <v>12492.94</v>
      </c>
      <c r="L233">
        <v>12364.21</v>
      </c>
      <c r="M233">
        <v>1.03042198233561E-2</v>
      </c>
      <c r="N233">
        <v>58</v>
      </c>
      <c r="O233" t="s">
        <v>18</v>
      </c>
      <c r="P233">
        <v>9.4616639477977202E-2</v>
      </c>
      <c r="Q233">
        <v>128.72999999999999</v>
      </c>
    </row>
    <row r="234" spans="1:17" x14ac:dyDescent="0.3">
      <c r="A234" t="s">
        <v>262</v>
      </c>
      <c r="B234" t="s">
        <v>23</v>
      </c>
      <c r="C234" s="1">
        <v>44624</v>
      </c>
      <c r="D234" s="1">
        <v>44636</v>
      </c>
      <c r="E234" t="s">
        <v>29</v>
      </c>
      <c r="F234">
        <v>12</v>
      </c>
      <c r="G234" t="s">
        <v>36</v>
      </c>
      <c r="H234">
        <v>1341</v>
      </c>
      <c r="I234">
        <v>46.27</v>
      </c>
      <c r="J234">
        <v>43.94</v>
      </c>
      <c r="K234">
        <v>62048.07</v>
      </c>
      <c r="L234">
        <v>58923.54</v>
      </c>
      <c r="M234">
        <v>5.0356602550248798E-2</v>
      </c>
      <c r="N234">
        <v>63</v>
      </c>
      <c r="O234" t="s">
        <v>18</v>
      </c>
      <c r="P234">
        <v>4.6979865771812103E-2</v>
      </c>
      <c r="Q234">
        <v>3124.53</v>
      </c>
    </row>
    <row r="235" spans="1:17" x14ac:dyDescent="0.3">
      <c r="A235" t="s">
        <v>263</v>
      </c>
      <c r="B235" t="s">
        <v>26</v>
      </c>
      <c r="C235" s="1">
        <v>44974</v>
      </c>
      <c r="D235" s="1">
        <v>44989</v>
      </c>
      <c r="E235" t="s">
        <v>24</v>
      </c>
      <c r="F235">
        <v>15</v>
      </c>
      <c r="G235" t="s">
        <v>36</v>
      </c>
      <c r="H235">
        <v>1583</v>
      </c>
      <c r="I235">
        <v>103.57</v>
      </c>
      <c r="J235">
        <v>89.38</v>
      </c>
      <c r="K235">
        <v>163951.31</v>
      </c>
      <c r="L235">
        <v>141488.54</v>
      </c>
      <c r="M235">
        <v>0.137008786328087</v>
      </c>
      <c r="N235">
        <v>164</v>
      </c>
      <c r="O235" t="s">
        <v>18</v>
      </c>
      <c r="P235">
        <v>0.103600758054327</v>
      </c>
      <c r="Q235">
        <v>22462.77</v>
      </c>
    </row>
    <row r="236" spans="1:17" x14ac:dyDescent="0.3">
      <c r="A236" t="s">
        <v>264</v>
      </c>
      <c r="B236" t="s">
        <v>32</v>
      </c>
      <c r="C236" s="1">
        <v>44673</v>
      </c>
      <c r="D236" s="1">
        <v>44677</v>
      </c>
      <c r="E236" t="s">
        <v>24</v>
      </c>
      <c r="F236">
        <v>4</v>
      </c>
      <c r="G236" t="s">
        <v>21</v>
      </c>
      <c r="H236">
        <v>1459</v>
      </c>
      <c r="I236">
        <v>84.79</v>
      </c>
      <c r="J236">
        <v>82.72</v>
      </c>
      <c r="K236">
        <v>123708.61</v>
      </c>
      <c r="L236">
        <v>120688.48</v>
      </c>
      <c r="M236">
        <v>2.4413256280221899E-2</v>
      </c>
      <c r="N236">
        <v>47</v>
      </c>
      <c r="O236" t="s">
        <v>18</v>
      </c>
      <c r="P236">
        <v>3.2213845099383097E-2</v>
      </c>
      <c r="Q236">
        <v>3020.13</v>
      </c>
    </row>
    <row r="237" spans="1:17" x14ac:dyDescent="0.3">
      <c r="A237" t="s">
        <v>265</v>
      </c>
      <c r="B237" t="s">
        <v>26</v>
      </c>
      <c r="C237" s="1">
        <v>44758</v>
      </c>
      <c r="D237" s="1">
        <v>44770</v>
      </c>
      <c r="E237" t="s">
        <v>27</v>
      </c>
      <c r="F237">
        <v>12</v>
      </c>
      <c r="G237" t="s">
        <v>36</v>
      </c>
      <c r="H237">
        <v>1186</v>
      </c>
      <c r="I237">
        <v>26.14</v>
      </c>
      <c r="J237">
        <v>24.78</v>
      </c>
      <c r="K237">
        <v>31002.04</v>
      </c>
      <c r="L237">
        <v>29389.08</v>
      </c>
      <c r="M237">
        <v>5.20275439938791E-2</v>
      </c>
      <c r="N237">
        <v>112</v>
      </c>
      <c r="O237" t="s">
        <v>18</v>
      </c>
      <c r="P237">
        <v>9.4435075885328804E-2</v>
      </c>
      <c r="Q237">
        <v>1612.96</v>
      </c>
    </row>
    <row r="238" spans="1:17" x14ac:dyDescent="0.3">
      <c r="A238" t="s">
        <v>266</v>
      </c>
      <c r="B238" t="s">
        <v>32</v>
      </c>
      <c r="C238" s="1">
        <v>44756</v>
      </c>
      <c r="D238" s="1">
        <v>44765</v>
      </c>
      <c r="E238" t="s">
        <v>24</v>
      </c>
      <c r="F238">
        <v>9</v>
      </c>
      <c r="G238" t="s">
        <v>38</v>
      </c>
      <c r="H238">
        <v>1686</v>
      </c>
      <c r="I238">
        <v>72.28</v>
      </c>
      <c r="J238">
        <v>65.209999999999994</v>
      </c>
      <c r="K238">
        <v>121864.08</v>
      </c>
      <c r="L238">
        <v>109944.06</v>
      </c>
      <c r="M238">
        <v>9.7814056447150105E-2</v>
      </c>
      <c r="N238">
        <v>53</v>
      </c>
      <c r="O238" t="s">
        <v>18</v>
      </c>
      <c r="P238">
        <v>3.1435349940688001E-2</v>
      </c>
      <c r="Q238">
        <v>11920.02</v>
      </c>
    </row>
    <row r="239" spans="1:17" x14ac:dyDescent="0.3">
      <c r="A239" t="s">
        <v>267</v>
      </c>
      <c r="B239" t="s">
        <v>15</v>
      </c>
      <c r="C239" s="1">
        <v>45111</v>
      </c>
      <c r="D239" s="1">
        <v>45115</v>
      </c>
      <c r="E239" t="s">
        <v>24</v>
      </c>
      <c r="F239">
        <v>4</v>
      </c>
      <c r="G239" t="s">
        <v>21</v>
      </c>
      <c r="H239">
        <v>1698</v>
      </c>
      <c r="I239">
        <v>102.07</v>
      </c>
      <c r="J239">
        <v>100.69</v>
      </c>
      <c r="K239">
        <v>173314.86</v>
      </c>
      <c r="L239">
        <v>170971.62</v>
      </c>
      <c r="M239">
        <v>1.3520133241892799E-2</v>
      </c>
      <c r="N239">
        <v>28</v>
      </c>
      <c r="O239" t="s">
        <v>18</v>
      </c>
      <c r="P239">
        <v>1.6489988221437001E-2</v>
      </c>
      <c r="Q239">
        <v>2343.2399999999998</v>
      </c>
    </row>
    <row r="240" spans="1:17" x14ac:dyDescent="0.3">
      <c r="A240" t="s">
        <v>268</v>
      </c>
      <c r="B240" t="s">
        <v>15</v>
      </c>
      <c r="C240" s="1">
        <v>44705</v>
      </c>
      <c r="D240" s="1">
        <v>44708</v>
      </c>
      <c r="E240" t="s">
        <v>16</v>
      </c>
      <c r="F240">
        <v>3</v>
      </c>
      <c r="G240" t="s">
        <v>21</v>
      </c>
      <c r="H240">
        <v>1154</v>
      </c>
      <c r="I240">
        <v>62.67</v>
      </c>
      <c r="J240">
        <v>54.11</v>
      </c>
      <c r="K240">
        <v>72321.179999999993</v>
      </c>
      <c r="L240">
        <v>62442.94</v>
      </c>
      <c r="M240">
        <v>0.13658847933620599</v>
      </c>
      <c r="N240">
        <v>25</v>
      </c>
      <c r="O240" t="s">
        <v>18</v>
      </c>
      <c r="P240">
        <v>2.1663778162911599E-2</v>
      </c>
      <c r="Q240">
        <v>9878.24</v>
      </c>
    </row>
    <row r="241" spans="1:17" x14ac:dyDescent="0.3">
      <c r="A241" t="s">
        <v>269</v>
      </c>
      <c r="B241" t="s">
        <v>15</v>
      </c>
      <c r="C241" s="1">
        <v>44994</v>
      </c>
      <c r="D241" s="1">
        <v>45014</v>
      </c>
      <c r="E241" t="s">
        <v>27</v>
      </c>
      <c r="F241">
        <v>20</v>
      </c>
      <c r="G241" t="s">
        <v>17</v>
      </c>
      <c r="H241">
        <v>748</v>
      </c>
      <c r="I241">
        <v>37.659999999999997</v>
      </c>
      <c r="J241">
        <v>32.71</v>
      </c>
      <c r="K241">
        <v>28169.68</v>
      </c>
      <c r="L241">
        <v>24467.08</v>
      </c>
      <c r="M241">
        <v>0.131439192777483</v>
      </c>
      <c r="N241">
        <v>0</v>
      </c>
      <c r="O241" t="s">
        <v>30</v>
      </c>
      <c r="P241">
        <v>0</v>
      </c>
      <c r="Q241">
        <v>3702.6</v>
      </c>
    </row>
    <row r="242" spans="1:17" x14ac:dyDescent="0.3">
      <c r="A242" t="s">
        <v>270</v>
      </c>
      <c r="B242" t="s">
        <v>15</v>
      </c>
      <c r="C242" s="1">
        <v>44847</v>
      </c>
      <c r="D242" s="1">
        <v>44858</v>
      </c>
      <c r="E242" t="s">
        <v>27</v>
      </c>
      <c r="F242">
        <v>11</v>
      </c>
      <c r="G242" t="s">
        <v>21</v>
      </c>
      <c r="H242">
        <v>51</v>
      </c>
      <c r="I242">
        <v>28.04</v>
      </c>
      <c r="J242">
        <v>24.13</v>
      </c>
      <c r="K242">
        <v>1430.04</v>
      </c>
      <c r="L242">
        <v>1230.6300000000001</v>
      </c>
      <c r="M242">
        <v>0.13944365192582001</v>
      </c>
      <c r="N242">
        <v>0</v>
      </c>
      <c r="O242" t="s">
        <v>18</v>
      </c>
      <c r="P242">
        <v>0</v>
      </c>
      <c r="Q242">
        <v>199.41</v>
      </c>
    </row>
    <row r="243" spans="1:17" x14ac:dyDescent="0.3">
      <c r="A243" t="s">
        <v>271</v>
      </c>
      <c r="B243" t="s">
        <v>20</v>
      </c>
      <c r="C243" s="1">
        <v>45035</v>
      </c>
      <c r="D243" s="1">
        <v>45040</v>
      </c>
      <c r="E243" t="s">
        <v>16</v>
      </c>
      <c r="F243">
        <v>5</v>
      </c>
      <c r="G243" t="s">
        <v>21</v>
      </c>
      <c r="H243">
        <v>691</v>
      </c>
      <c r="I243">
        <v>42.07</v>
      </c>
      <c r="J243">
        <v>39.1</v>
      </c>
      <c r="K243">
        <v>29070.37</v>
      </c>
      <c r="L243">
        <v>27018.1</v>
      </c>
      <c r="M243">
        <v>7.0596624673163605E-2</v>
      </c>
      <c r="N243">
        <v>106</v>
      </c>
      <c r="O243" t="s">
        <v>18</v>
      </c>
      <c r="P243">
        <v>0.153400868306802</v>
      </c>
      <c r="Q243">
        <v>2052.27</v>
      </c>
    </row>
    <row r="244" spans="1:17" x14ac:dyDescent="0.3">
      <c r="A244" t="s">
        <v>272</v>
      </c>
      <c r="B244" t="s">
        <v>26</v>
      </c>
      <c r="C244" s="1">
        <v>44817</v>
      </c>
      <c r="D244" s="1">
        <v>44824</v>
      </c>
      <c r="E244" t="s">
        <v>16</v>
      </c>
      <c r="F244">
        <v>7</v>
      </c>
      <c r="G244" t="s">
        <v>21</v>
      </c>
      <c r="H244">
        <v>269</v>
      </c>
      <c r="I244">
        <v>50.22</v>
      </c>
      <c r="J244">
        <v>45.75</v>
      </c>
      <c r="K244">
        <v>13509.18</v>
      </c>
      <c r="L244">
        <v>12306.75</v>
      </c>
      <c r="M244">
        <v>8.9008363201911606E-2</v>
      </c>
      <c r="N244">
        <v>32</v>
      </c>
      <c r="O244" t="s">
        <v>30</v>
      </c>
      <c r="P244">
        <v>0.118959107806691</v>
      </c>
      <c r="Q244">
        <v>1202.43</v>
      </c>
    </row>
    <row r="245" spans="1:17" x14ac:dyDescent="0.3">
      <c r="A245" t="s">
        <v>273</v>
      </c>
      <c r="B245" t="s">
        <v>26</v>
      </c>
      <c r="C245" s="1">
        <v>44639</v>
      </c>
      <c r="D245" s="1">
        <v>44657</v>
      </c>
      <c r="E245" t="s">
        <v>42</v>
      </c>
      <c r="F245">
        <v>18</v>
      </c>
      <c r="G245" t="s">
        <v>38</v>
      </c>
      <c r="H245">
        <v>1639</v>
      </c>
      <c r="I245">
        <v>56.24</v>
      </c>
      <c r="J245">
        <v>55.4</v>
      </c>
      <c r="K245">
        <v>92177.36</v>
      </c>
      <c r="L245">
        <v>90800.6</v>
      </c>
      <c r="M245">
        <v>1.49359886201992E-2</v>
      </c>
      <c r="N245">
        <v>147</v>
      </c>
      <c r="O245" t="s">
        <v>18</v>
      </c>
      <c r="P245">
        <v>8.9688834655277605E-2</v>
      </c>
      <c r="Q245">
        <v>1376.76</v>
      </c>
    </row>
    <row r="246" spans="1:17" x14ac:dyDescent="0.3">
      <c r="A246" t="s">
        <v>274</v>
      </c>
      <c r="B246" t="s">
        <v>15</v>
      </c>
      <c r="C246" s="1">
        <v>45015</v>
      </c>
      <c r="D246" s="1">
        <v>45022</v>
      </c>
      <c r="E246" t="s">
        <v>29</v>
      </c>
      <c r="F246">
        <v>7</v>
      </c>
      <c r="G246" t="s">
        <v>21</v>
      </c>
      <c r="H246">
        <v>904</v>
      </c>
      <c r="I246">
        <v>34.04</v>
      </c>
      <c r="J246">
        <v>30.06</v>
      </c>
      <c r="K246">
        <v>30772.16</v>
      </c>
      <c r="L246">
        <v>27174.240000000002</v>
      </c>
      <c r="M246">
        <v>0.116921269095182</v>
      </c>
      <c r="N246">
        <v>26</v>
      </c>
      <c r="O246" t="s">
        <v>18</v>
      </c>
      <c r="P246">
        <v>2.87610619469027E-2</v>
      </c>
      <c r="Q246">
        <v>3597.92</v>
      </c>
    </row>
    <row r="247" spans="1:17" x14ac:dyDescent="0.3">
      <c r="A247" t="s">
        <v>275</v>
      </c>
      <c r="B247" t="s">
        <v>26</v>
      </c>
      <c r="C247" s="1">
        <v>45125</v>
      </c>
      <c r="D247" s="1">
        <v>45133</v>
      </c>
      <c r="E247" t="s">
        <v>16</v>
      </c>
      <c r="F247">
        <v>8</v>
      </c>
      <c r="G247" t="s">
        <v>21</v>
      </c>
      <c r="H247">
        <v>1809</v>
      </c>
      <c r="I247">
        <v>22.17</v>
      </c>
      <c r="J247">
        <v>19.649999999999999</v>
      </c>
      <c r="K247">
        <v>40105.53</v>
      </c>
      <c r="L247">
        <v>35546.85</v>
      </c>
      <c r="M247">
        <v>0.113667117726658</v>
      </c>
      <c r="N247">
        <v>0</v>
      </c>
      <c r="O247" t="s">
        <v>18</v>
      </c>
      <c r="P247">
        <v>0</v>
      </c>
      <c r="Q247">
        <v>4558.68</v>
      </c>
    </row>
    <row r="248" spans="1:17" x14ac:dyDescent="0.3">
      <c r="A248" t="s">
        <v>276</v>
      </c>
      <c r="B248" t="s">
        <v>15</v>
      </c>
      <c r="C248" s="1">
        <v>44662</v>
      </c>
      <c r="D248" s="1">
        <v>44667</v>
      </c>
      <c r="E248" t="s">
        <v>27</v>
      </c>
      <c r="F248">
        <v>5</v>
      </c>
      <c r="G248" t="s">
        <v>21</v>
      </c>
      <c r="H248">
        <v>1298</v>
      </c>
      <c r="I248">
        <v>65.930000000000007</v>
      </c>
      <c r="J248">
        <v>58.95</v>
      </c>
      <c r="K248">
        <v>85577.14</v>
      </c>
      <c r="L248">
        <v>76517.100000000006</v>
      </c>
      <c r="M248">
        <v>0.105869861974822</v>
      </c>
      <c r="N248">
        <v>0</v>
      </c>
      <c r="O248" t="s">
        <v>18</v>
      </c>
      <c r="P248">
        <v>0</v>
      </c>
      <c r="Q248">
        <v>9060.0400000000009</v>
      </c>
    </row>
    <row r="249" spans="1:17" x14ac:dyDescent="0.3">
      <c r="A249" t="s">
        <v>277</v>
      </c>
      <c r="B249" t="s">
        <v>26</v>
      </c>
      <c r="C249" s="1">
        <v>44613</v>
      </c>
      <c r="D249" s="1">
        <v>44633</v>
      </c>
      <c r="E249" t="s">
        <v>27</v>
      </c>
      <c r="F249">
        <v>20</v>
      </c>
      <c r="G249" t="s">
        <v>21</v>
      </c>
      <c r="H249">
        <v>434</v>
      </c>
      <c r="I249">
        <v>36.159999999999997</v>
      </c>
      <c r="J249">
        <v>34.79</v>
      </c>
      <c r="K249">
        <v>15693.44</v>
      </c>
      <c r="L249">
        <v>15098.86</v>
      </c>
      <c r="M249">
        <v>3.7887168141592903E-2</v>
      </c>
      <c r="N249">
        <v>41</v>
      </c>
      <c r="O249" t="s">
        <v>18</v>
      </c>
      <c r="P249">
        <v>9.4470046082949302E-2</v>
      </c>
      <c r="Q249">
        <v>594.58000000000004</v>
      </c>
    </row>
    <row r="250" spans="1:17" x14ac:dyDescent="0.3">
      <c r="A250" t="s">
        <v>278</v>
      </c>
      <c r="B250" t="s">
        <v>32</v>
      </c>
      <c r="C250" s="1">
        <v>45229</v>
      </c>
      <c r="D250" s="1">
        <v>45234</v>
      </c>
      <c r="E250" t="s">
        <v>42</v>
      </c>
      <c r="F250">
        <v>5</v>
      </c>
      <c r="G250" t="s">
        <v>21</v>
      </c>
      <c r="H250">
        <v>1476</v>
      </c>
      <c r="I250">
        <v>68.849999999999994</v>
      </c>
      <c r="J250">
        <v>65.28</v>
      </c>
      <c r="K250">
        <v>101622.6</v>
      </c>
      <c r="L250">
        <v>96353.279999999999</v>
      </c>
      <c r="M250">
        <v>5.1851851851851802E-2</v>
      </c>
      <c r="N250">
        <v>43</v>
      </c>
      <c r="O250" t="s">
        <v>18</v>
      </c>
      <c r="P250">
        <v>2.9132791327913299E-2</v>
      </c>
      <c r="Q250">
        <v>5269.32</v>
      </c>
    </row>
    <row r="251" spans="1:17" x14ac:dyDescent="0.3">
      <c r="A251" t="s">
        <v>279</v>
      </c>
      <c r="B251" t="s">
        <v>23</v>
      </c>
      <c r="C251" s="1">
        <v>44577</v>
      </c>
      <c r="D251" s="1">
        <v>44583</v>
      </c>
      <c r="E251" t="s">
        <v>27</v>
      </c>
      <c r="F251">
        <v>6</v>
      </c>
      <c r="G251" t="s">
        <v>21</v>
      </c>
      <c r="H251">
        <v>1203</v>
      </c>
      <c r="I251">
        <v>53.3</v>
      </c>
      <c r="J251">
        <v>47.68</v>
      </c>
      <c r="K251">
        <v>64119.9</v>
      </c>
      <c r="L251">
        <v>57359.040000000001</v>
      </c>
      <c r="M251">
        <v>0.10544090056285201</v>
      </c>
      <c r="N251">
        <v>49</v>
      </c>
      <c r="O251" t="s">
        <v>18</v>
      </c>
      <c r="P251">
        <v>4.0731504571903603E-2</v>
      </c>
      <c r="Q251">
        <v>6760.86</v>
      </c>
    </row>
    <row r="252" spans="1:17" x14ac:dyDescent="0.3">
      <c r="A252" t="s">
        <v>280</v>
      </c>
      <c r="B252" t="s">
        <v>15</v>
      </c>
      <c r="C252" s="1">
        <v>44657</v>
      </c>
      <c r="D252" s="1">
        <v>44658</v>
      </c>
      <c r="E252" t="s">
        <v>42</v>
      </c>
      <c r="F252">
        <v>1</v>
      </c>
      <c r="G252" t="s">
        <v>21</v>
      </c>
      <c r="H252">
        <v>1126</v>
      </c>
      <c r="I252">
        <v>58.8</v>
      </c>
      <c r="J252">
        <v>52.22</v>
      </c>
      <c r="K252">
        <v>66208.800000000003</v>
      </c>
      <c r="L252">
        <v>58799.72</v>
      </c>
      <c r="M252">
        <v>0.11190476190476201</v>
      </c>
      <c r="N252">
        <v>0</v>
      </c>
      <c r="O252" t="s">
        <v>18</v>
      </c>
      <c r="P252">
        <v>0</v>
      </c>
      <c r="Q252">
        <v>7409.08</v>
      </c>
    </row>
    <row r="253" spans="1:17" x14ac:dyDescent="0.3">
      <c r="A253" t="s">
        <v>281</v>
      </c>
      <c r="B253" t="s">
        <v>32</v>
      </c>
      <c r="C253" s="1">
        <v>44804</v>
      </c>
      <c r="D253" s="1">
        <v>44816</v>
      </c>
      <c r="E253" t="s">
        <v>27</v>
      </c>
      <c r="F253">
        <v>12</v>
      </c>
      <c r="G253" t="s">
        <v>21</v>
      </c>
      <c r="H253">
        <v>1757</v>
      </c>
      <c r="I253">
        <v>15.18</v>
      </c>
      <c r="J253">
        <v>13.06</v>
      </c>
      <c r="K253">
        <v>26671.26</v>
      </c>
      <c r="L253">
        <v>22946.42</v>
      </c>
      <c r="M253">
        <v>0.13965744400527</v>
      </c>
      <c r="N253">
        <v>63</v>
      </c>
      <c r="O253" t="s">
        <v>18</v>
      </c>
      <c r="P253">
        <v>3.58565737051793E-2</v>
      </c>
      <c r="Q253">
        <v>3724.84</v>
      </c>
    </row>
    <row r="254" spans="1:17" x14ac:dyDescent="0.3">
      <c r="A254" t="s">
        <v>282</v>
      </c>
      <c r="B254" t="s">
        <v>32</v>
      </c>
      <c r="C254" s="1">
        <v>44732</v>
      </c>
      <c r="D254" s="1">
        <v>44740</v>
      </c>
      <c r="E254" t="s">
        <v>24</v>
      </c>
      <c r="F254">
        <v>8</v>
      </c>
      <c r="G254" t="s">
        <v>21</v>
      </c>
      <c r="H254">
        <v>779</v>
      </c>
      <c r="I254">
        <v>41.3</v>
      </c>
      <c r="J254">
        <v>36.28</v>
      </c>
      <c r="K254">
        <v>32172.7</v>
      </c>
      <c r="L254">
        <v>28262.12</v>
      </c>
      <c r="M254">
        <v>0.121549636803874</v>
      </c>
      <c r="N254">
        <v>20</v>
      </c>
      <c r="O254" t="s">
        <v>18</v>
      </c>
      <c r="P254">
        <v>2.5673940949935799E-2</v>
      </c>
      <c r="Q254">
        <v>3910.58</v>
      </c>
    </row>
    <row r="255" spans="1:17" x14ac:dyDescent="0.3">
      <c r="A255" t="s">
        <v>283</v>
      </c>
      <c r="B255" t="s">
        <v>20</v>
      </c>
      <c r="C255" s="1">
        <v>44978</v>
      </c>
      <c r="D255" s="1">
        <v>44979</v>
      </c>
      <c r="E255" t="s">
        <v>16</v>
      </c>
      <c r="F255">
        <v>1</v>
      </c>
      <c r="G255" t="s">
        <v>21</v>
      </c>
      <c r="H255">
        <v>1745</v>
      </c>
      <c r="I255">
        <v>23.53</v>
      </c>
      <c r="J255">
        <v>22.57</v>
      </c>
      <c r="K255">
        <v>41059.85</v>
      </c>
      <c r="L255">
        <v>39384.65</v>
      </c>
      <c r="M255">
        <v>4.0798980025499303E-2</v>
      </c>
      <c r="N255">
        <v>282</v>
      </c>
      <c r="O255" t="s">
        <v>30</v>
      </c>
      <c r="P255">
        <v>0.16160458452722101</v>
      </c>
      <c r="Q255">
        <v>1675.2</v>
      </c>
    </row>
    <row r="256" spans="1:17" x14ac:dyDescent="0.3">
      <c r="A256" t="s">
        <v>284</v>
      </c>
      <c r="B256" t="s">
        <v>20</v>
      </c>
      <c r="C256" s="1">
        <v>45059</v>
      </c>
      <c r="D256" s="1">
        <v>45061</v>
      </c>
      <c r="E256" t="s">
        <v>29</v>
      </c>
      <c r="F256">
        <v>2</v>
      </c>
      <c r="G256" t="s">
        <v>21</v>
      </c>
      <c r="H256">
        <v>1783</v>
      </c>
      <c r="I256">
        <v>16.96</v>
      </c>
      <c r="J256">
        <v>15.8</v>
      </c>
      <c r="K256">
        <v>30239.68</v>
      </c>
      <c r="L256">
        <v>28171.4</v>
      </c>
      <c r="M256">
        <v>6.8396226415094297E-2</v>
      </c>
      <c r="N256">
        <v>295</v>
      </c>
      <c r="O256" t="s">
        <v>18</v>
      </c>
      <c r="P256">
        <v>0.16545148625911399</v>
      </c>
      <c r="Q256">
        <v>2068.2800000000002</v>
      </c>
    </row>
    <row r="257" spans="1:17" x14ac:dyDescent="0.3">
      <c r="A257" t="s">
        <v>285</v>
      </c>
      <c r="B257" t="s">
        <v>15</v>
      </c>
      <c r="C257" s="1">
        <v>45054</v>
      </c>
      <c r="D257" s="1">
        <v>45068</v>
      </c>
      <c r="E257" t="s">
        <v>16</v>
      </c>
      <c r="F257">
        <v>14</v>
      </c>
      <c r="G257" t="s">
        <v>36</v>
      </c>
      <c r="H257">
        <v>1489</v>
      </c>
      <c r="I257">
        <v>107.02</v>
      </c>
      <c r="J257">
        <v>93.3</v>
      </c>
      <c r="K257">
        <v>159352.78</v>
      </c>
      <c r="L257">
        <v>138923.70000000001</v>
      </c>
      <c r="M257">
        <v>0.12820033638572201</v>
      </c>
      <c r="N257">
        <v>0</v>
      </c>
      <c r="O257" t="s">
        <v>18</v>
      </c>
      <c r="P257">
        <v>0</v>
      </c>
      <c r="Q257">
        <v>20429.080000000002</v>
      </c>
    </row>
    <row r="258" spans="1:17" x14ac:dyDescent="0.3">
      <c r="A258" t="s">
        <v>286</v>
      </c>
      <c r="B258" t="s">
        <v>15</v>
      </c>
      <c r="C258" s="1">
        <v>44780</v>
      </c>
      <c r="D258" s="1">
        <v>44783</v>
      </c>
      <c r="E258" t="s">
        <v>16</v>
      </c>
      <c r="F258">
        <v>3</v>
      </c>
      <c r="G258" t="s">
        <v>21</v>
      </c>
      <c r="H258">
        <v>296</v>
      </c>
      <c r="I258">
        <v>40.380000000000003</v>
      </c>
      <c r="J258">
        <v>35.25</v>
      </c>
      <c r="K258">
        <v>11952.48</v>
      </c>
      <c r="L258">
        <v>10434</v>
      </c>
      <c r="M258">
        <v>0.12704309063892999</v>
      </c>
      <c r="N258">
        <v>0</v>
      </c>
      <c r="O258" t="s">
        <v>18</v>
      </c>
      <c r="P258">
        <v>0</v>
      </c>
      <c r="Q258">
        <v>1518.48</v>
      </c>
    </row>
    <row r="259" spans="1:17" x14ac:dyDescent="0.3">
      <c r="A259" t="s">
        <v>287</v>
      </c>
      <c r="B259" t="s">
        <v>32</v>
      </c>
      <c r="C259" s="1">
        <v>44972</v>
      </c>
      <c r="D259" s="1">
        <v>44984</v>
      </c>
      <c r="E259" t="s">
        <v>24</v>
      </c>
      <c r="F259">
        <v>12</v>
      </c>
      <c r="G259" t="s">
        <v>21</v>
      </c>
      <c r="H259">
        <v>885</v>
      </c>
      <c r="I259">
        <v>88.28</v>
      </c>
      <c r="J259">
        <v>80.8</v>
      </c>
      <c r="K259">
        <v>78127.8</v>
      </c>
      <c r="L259">
        <v>71508</v>
      </c>
      <c r="M259">
        <v>8.4730403262347098E-2</v>
      </c>
      <c r="N259">
        <v>31</v>
      </c>
      <c r="O259" t="s">
        <v>18</v>
      </c>
      <c r="P259">
        <v>3.5028248587570601E-2</v>
      </c>
      <c r="Q259">
        <v>6619.8</v>
      </c>
    </row>
    <row r="260" spans="1:17" x14ac:dyDescent="0.3">
      <c r="A260" t="s">
        <v>288</v>
      </c>
      <c r="B260" t="s">
        <v>32</v>
      </c>
      <c r="C260" s="1">
        <v>44622</v>
      </c>
      <c r="D260" s="1">
        <v>44626</v>
      </c>
      <c r="E260" t="s">
        <v>29</v>
      </c>
      <c r="F260">
        <v>4</v>
      </c>
      <c r="G260" t="s">
        <v>38</v>
      </c>
      <c r="H260">
        <v>1512</v>
      </c>
      <c r="I260">
        <v>33.25</v>
      </c>
      <c r="J260">
        <v>30.15</v>
      </c>
      <c r="K260">
        <v>50274</v>
      </c>
      <c r="L260">
        <v>45586.8</v>
      </c>
      <c r="M260">
        <v>9.3233082706767001E-2</v>
      </c>
      <c r="N260">
        <v>53</v>
      </c>
      <c r="O260" t="s">
        <v>18</v>
      </c>
      <c r="P260">
        <v>3.5052910052910002E-2</v>
      </c>
      <c r="Q260">
        <v>4687.2</v>
      </c>
    </row>
    <row r="261" spans="1:17" x14ac:dyDescent="0.3">
      <c r="A261" t="s">
        <v>289</v>
      </c>
      <c r="B261" t="s">
        <v>20</v>
      </c>
      <c r="C261" s="1">
        <v>44730</v>
      </c>
      <c r="D261" s="1">
        <v>44738</v>
      </c>
      <c r="E261" t="s">
        <v>16</v>
      </c>
      <c r="F261">
        <v>8</v>
      </c>
      <c r="G261" t="s">
        <v>21</v>
      </c>
      <c r="H261">
        <v>252</v>
      </c>
      <c r="I261">
        <v>73.12</v>
      </c>
      <c r="J261">
        <v>67.64</v>
      </c>
      <c r="K261">
        <v>18426.240000000002</v>
      </c>
      <c r="L261">
        <v>17045.28</v>
      </c>
      <c r="M261">
        <v>7.4945295404814205E-2</v>
      </c>
      <c r="N261">
        <v>0</v>
      </c>
      <c r="O261" t="s">
        <v>30</v>
      </c>
      <c r="P261">
        <v>0</v>
      </c>
      <c r="Q261">
        <v>1380.96</v>
      </c>
    </row>
    <row r="262" spans="1:17" x14ac:dyDescent="0.3">
      <c r="A262" t="s">
        <v>290</v>
      </c>
      <c r="B262" t="s">
        <v>15</v>
      </c>
      <c r="C262" s="1">
        <v>44564</v>
      </c>
      <c r="D262" s="1">
        <v>44581</v>
      </c>
      <c r="E262" t="s">
        <v>27</v>
      </c>
      <c r="F262">
        <v>17</v>
      </c>
      <c r="G262" t="s">
        <v>21</v>
      </c>
      <c r="H262">
        <v>172</v>
      </c>
      <c r="I262">
        <v>63.61</v>
      </c>
      <c r="J262">
        <v>55.92</v>
      </c>
      <c r="K262">
        <v>10940.92</v>
      </c>
      <c r="L262">
        <v>9618.24</v>
      </c>
      <c r="M262">
        <v>0.12089294136142099</v>
      </c>
      <c r="N262">
        <v>4</v>
      </c>
      <c r="O262" t="s">
        <v>18</v>
      </c>
      <c r="P262">
        <v>2.32558139534884E-2</v>
      </c>
      <c r="Q262">
        <v>1322.68</v>
      </c>
    </row>
    <row r="263" spans="1:17" x14ac:dyDescent="0.3">
      <c r="A263" t="s">
        <v>291</v>
      </c>
      <c r="B263" t="s">
        <v>32</v>
      </c>
      <c r="C263" s="1">
        <v>44961</v>
      </c>
      <c r="D263" s="1">
        <v>44962</v>
      </c>
      <c r="E263" t="s">
        <v>27</v>
      </c>
      <c r="F263">
        <v>1</v>
      </c>
      <c r="G263" t="s">
        <v>38</v>
      </c>
      <c r="H263">
        <v>450</v>
      </c>
      <c r="I263">
        <v>55.85</v>
      </c>
      <c r="J263">
        <v>49.88</v>
      </c>
      <c r="K263">
        <v>25132.5</v>
      </c>
      <c r="L263">
        <v>22446</v>
      </c>
      <c r="M263">
        <v>0.106893464637422</v>
      </c>
      <c r="N263">
        <v>9</v>
      </c>
      <c r="O263" t="s">
        <v>18</v>
      </c>
      <c r="P263">
        <v>0.02</v>
      </c>
      <c r="Q263">
        <v>2686.5</v>
      </c>
    </row>
    <row r="264" spans="1:17" x14ac:dyDescent="0.3">
      <c r="A264" t="s">
        <v>292</v>
      </c>
      <c r="B264" t="s">
        <v>23</v>
      </c>
      <c r="C264" s="1">
        <v>44833</v>
      </c>
      <c r="D264" s="1">
        <v>44849</v>
      </c>
      <c r="E264" t="s">
        <v>42</v>
      </c>
      <c r="F264">
        <v>16</v>
      </c>
      <c r="G264" t="s">
        <v>21</v>
      </c>
      <c r="H264">
        <v>816</v>
      </c>
      <c r="I264">
        <v>48.95</v>
      </c>
      <c r="J264">
        <v>43.42</v>
      </c>
      <c r="K264">
        <v>39943.199999999997</v>
      </c>
      <c r="L264">
        <v>35430.720000000001</v>
      </c>
      <c r="M264">
        <v>0.112972420837589</v>
      </c>
      <c r="N264">
        <v>45</v>
      </c>
      <c r="O264" t="s">
        <v>18</v>
      </c>
      <c r="P264">
        <v>5.5147058823529403E-2</v>
      </c>
      <c r="Q264">
        <v>4512.4799999999996</v>
      </c>
    </row>
    <row r="265" spans="1:17" x14ac:dyDescent="0.3">
      <c r="A265" t="s">
        <v>293</v>
      </c>
      <c r="B265" t="s">
        <v>32</v>
      </c>
      <c r="C265" s="1">
        <v>45027</v>
      </c>
      <c r="D265" s="1">
        <v>45041</v>
      </c>
      <c r="E265" t="s">
        <v>27</v>
      </c>
      <c r="F265">
        <v>14</v>
      </c>
      <c r="G265" t="s">
        <v>21</v>
      </c>
      <c r="H265">
        <v>343</v>
      </c>
      <c r="I265">
        <v>44.5</v>
      </c>
      <c r="J265">
        <v>38.57</v>
      </c>
      <c r="K265">
        <v>15263.5</v>
      </c>
      <c r="L265">
        <v>13229.51</v>
      </c>
      <c r="M265">
        <v>0.133258426966292</v>
      </c>
      <c r="N265">
        <v>7</v>
      </c>
      <c r="O265" t="s">
        <v>18</v>
      </c>
      <c r="P265">
        <v>2.04081632653061E-2</v>
      </c>
      <c r="Q265">
        <v>2033.99</v>
      </c>
    </row>
    <row r="266" spans="1:17" x14ac:dyDescent="0.3">
      <c r="A266" t="s">
        <v>294</v>
      </c>
      <c r="B266" t="s">
        <v>23</v>
      </c>
      <c r="C266" s="1">
        <v>44854</v>
      </c>
      <c r="D266" s="1">
        <v>44870</v>
      </c>
      <c r="E266" t="s">
        <v>24</v>
      </c>
      <c r="F266">
        <v>16</v>
      </c>
      <c r="G266" t="s">
        <v>21</v>
      </c>
      <c r="H266">
        <v>329</v>
      </c>
      <c r="I266">
        <v>97.87</v>
      </c>
      <c r="J266">
        <v>85.35</v>
      </c>
      <c r="K266">
        <v>32199.23</v>
      </c>
      <c r="L266">
        <v>28080.15</v>
      </c>
      <c r="M266">
        <v>0.127924798201696</v>
      </c>
      <c r="N266">
        <v>21</v>
      </c>
      <c r="O266" t="s">
        <v>30</v>
      </c>
      <c r="P266">
        <v>6.3829787234042604E-2</v>
      </c>
      <c r="Q266">
        <v>4119.08</v>
      </c>
    </row>
    <row r="267" spans="1:17" x14ac:dyDescent="0.3">
      <c r="A267" t="s">
        <v>295</v>
      </c>
      <c r="B267" t="s">
        <v>15</v>
      </c>
      <c r="C267" s="1">
        <v>44995</v>
      </c>
      <c r="D267" s="1">
        <v>45010</v>
      </c>
      <c r="E267" t="s">
        <v>42</v>
      </c>
      <c r="F267">
        <v>15</v>
      </c>
      <c r="G267" t="s">
        <v>21</v>
      </c>
      <c r="H267">
        <v>1910</v>
      </c>
      <c r="I267">
        <v>90.69</v>
      </c>
      <c r="J267">
        <v>85.8</v>
      </c>
      <c r="K267">
        <v>173217.9</v>
      </c>
      <c r="L267">
        <v>163878</v>
      </c>
      <c r="M267">
        <v>5.3919947072444602E-2</v>
      </c>
      <c r="N267">
        <v>0</v>
      </c>
      <c r="O267" t="s">
        <v>18</v>
      </c>
      <c r="P267">
        <v>0</v>
      </c>
      <c r="Q267">
        <v>9339.9</v>
      </c>
    </row>
    <row r="268" spans="1:17" x14ac:dyDescent="0.3">
      <c r="A268" t="s">
        <v>296</v>
      </c>
      <c r="B268" t="s">
        <v>32</v>
      </c>
      <c r="C268" s="1">
        <v>45275</v>
      </c>
      <c r="D268" s="1">
        <v>45278</v>
      </c>
      <c r="E268" t="s">
        <v>24</v>
      </c>
      <c r="F268">
        <v>3</v>
      </c>
      <c r="G268" t="s">
        <v>21</v>
      </c>
      <c r="H268">
        <v>933</v>
      </c>
      <c r="I268">
        <v>107.99</v>
      </c>
      <c r="J268">
        <v>104.29</v>
      </c>
      <c r="K268">
        <v>100754.67</v>
      </c>
      <c r="L268">
        <v>97302.57</v>
      </c>
      <c r="M268">
        <v>3.4262431706639403E-2</v>
      </c>
      <c r="N268">
        <v>29</v>
      </c>
      <c r="O268" t="s">
        <v>18</v>
      </c>
      <c r="P268">
        <v>3.1082529474812399E-2</v>
      </c>
      <c r="Q268">
        <v>3452.1</v>
      </c>
    </row>
    <row r="269" spans="1:17" x14ac:dyDescent="0.3">
      <c r="A269" t="s">
        <v>297</v>
      </c>
      <c r="B269" t="s">
        <v>20</v>
      </c>
      <c r="C269" s="1">
        <v>45131</v>
      </c>
      <c r="D269" s="1">
        <v>45136</v>
      </c>
      <c r="E269" t="s">
        <v>29</v>
      </c>
      <c r="F269">
        <v>5</v>
      </c>
      <c r="G269" t="s">
        <v>21</v>
      </c>
      <c r="H269">
        <v>1683</v>
      </c>
      <c r="I269">
        <v>23.09</v>
      </c>
      <c r="J269">
        <v>21.88</v>
      </c>
      <c r="K269">
        <v>38860.47</v>
      </c>
      <c r="L269">
        <v>36824.04</v>
      </c>
      <c r="M269">
        <v>5.2403637938501502E-2</v>
      </c>
      <c r="N269">
        <v>253</v>
      </c>
      <c r="O269" t="s">
        <v>18</v>
      </c>
      <c r="P269">
        <v>0.15032679738562099</v>
      </c>
      <c r="Q269">
        <v>2036.43</v>
      </c>
    </row>
    <row r="270" spans="1:17" x14ac:dyDescent="0.3">
      <c r="A270" t="s">
        <v>298</v>
      </c>
      <c r="B270" t="s">
        <v>26</v>
      </c>
      <c r="C270" s="1">
        <v>45239</v>
      </c>
      <c r="D270" s="1">
        <v>45248</v>
      </c>
      <c r="E270" t="s">
        <v>27</v>
      </c>
      <c r="F270">
        <v>9</v>
      </c>
      <c r="G270" t="s">
        <v>38</v>
      </c>
      <c r="H270">
        <v>247</v>
      </c>
      <c r="I270">
        <v>84.11</v>
      </c>
      <c r="J270">
        <v>71.97</v>
      </c>
      <c r="K270">
        <v>20775.169999999998</v>
      </c>
      <c r="L270">
        <v>17776.59</v>
      </c>
      <c r="M270">
        <v>0.144334799667103</v>
      </c>
      <c r="N270">
        <v>0</v>
      </c>
      <c r="O270" t="s">
        <v>18</v>
      </c>
      <c r="P270">
        <v>0</v>
      </c>
      <c r="Q270">
        <v>2998.58</v>
      </c>
    </row>
    <row r="271" spans="1:17" x14ac:dyDescent="0.3">
      <c r="A271" t="s">
        <v>299</v>
      </c>
      <c r="B271" t="s">
        <v>15</v>
      </c>
      <c r="C271" s="1">
        <v>45060</v>
      </c>
      <c r="D271" s="1">
        <v>45079</v>
      </c>
      <c r="E271" t="s">
        <v>24</v>
      </c>
      <c r="F271">
        <v>19</v>
      </c>
      <c r="G271" t="s">
        <v>21</v>
      </c>
      <c r="H271">
        <v>1031</v>
      </c>
      <c r="I271">
        <v>102.01</v>
      </c>
      <c r="J271">
        <v>98.65</v>
      </c>
      <c r="K271">
        <v>105172.31</v>
      </c>
      <c r="L271">
        <v>101708.15</v>
      </c>
      <c r="M271">
        <v>3.2937947260072598E-2</v>
      </c>
      <c r="N271">
        <v>0</v>
      </c>
      <c r="O271" t="s">
        <v>18</v>
      </c>
      <c r="P271">
        <v>0</v>
      </c>
      <c r="Q271">
        <v>3464.16</v>
      </c>
    </row>
    <row r="272" spans="1:17" x14ac:dyDescent="0.3">
      <c r="A272" t="s">
        <v>300</v>
      </c>
      <c r="B272" t="s">
        <v>15</v>
      </c>
      <c r="C272" s="1">
        <v>44720</v>
      </c>
      <c r="D272" s="1">
        <v>44731</v>
      </c>
      <c r="E272" t="s">
        <v>27</v>
      </c>
      <c r="F272">
        <v>11</v>
      </c>
      <c r="G272" t="s">
        <v>21</v>
      </c>
      <c r="H272">
        <v>1980</v>
      </c>
      <c r="I272">
        <v>26.97</v>
      </c>
      <c r="J272">
        <v>24.16</v>
      </c>
      <c r="K272">
        <v>53400.6</v>
      </c>
      <c r="L272">
        <v>47836.800000000003</v>
      </c>
      <c r="M272">
        <v>0.104189840563589</v>
      </c>
      <c r="N272">
        <v>41</v>
      </c>
      <c r="O272" t="s">
        <v>18</v>
      </c>
      <c r="P272">
        <v>2.0707070707070702E-2</v>
      </c>
      <c r="Q272">
        <v>5563.8</v>
      </c>
    </row>
    <row r="273" spans="1:17" x14ac:dyDescent="0.3">
      <c r="A273" t="s">
        <v>301</v>
      </c>
      <c r="B273" t="s">
        <v>32</v>
      </c>
      <c r="C273" s="1">
        <v>44756</v>
      </c>
      <c r="D273" s="1">
        <v>44776</v>
      </c>
      <c r="E273" t="s">
        <v>29</v>
      </c>
      <c r="F273">
        <v>20</v>
      </c>
      <c r="G273" t="s">
        <v>21</v>
      </c>
      <c r="H273">
        <v>1584</v>
      </c>
      <c r="I273">
        <v>16.46</v>
      </c>
      <c r="J273">
        <v>14.2</v>
      </c>
      <c r="K273">
        <v>26072.639999999999</v>
      </c>
      <c r="L273">
        <v>22492.799999999999</v>
      </c>
      <c r="M273">
        <v>0.13730255164034</v>
      </c>
      <c r="N273">
        <v>57</v>
      </c>
      <c r="O273" t="s">
        <v>18</v>
      </c>
      <c r="P273">
        <v>3.5984848484848501E-2</v>
      </c>
      <c r="Q273">
        <v>3579.84</v>
      </c>
    </row>
    <row r="274" spans="1:17" x14ac:dyDescent="0.3">
      <c r="A274" t="s">
        <v>302</v>
      </c>
      <c r="B274" t="s">
        <v>26</v>
      </c>
      <c r="C274" s="1">
        <v>44865</v>
      </c>
      <c r="D274" s="1">
        <v>44880</v>
      </c>
      <c r="E274" t="s">
        <v>16</v>
      </c>
      <c r="F274">
        <v>15</v>
      </c>
      <c r="G274" t="s">
        <v>21</v>
      </c>
      <c r="H274">
        <v>801</v>
      </c>
      <c r="I274">
        <v>80.150000000000006</v>
      </c>
      <c r="J274">
        <v>70.91</v>
      </c>
      <c r="K274">
        <v>64200.15</v>
      </c>
      <c r="L274">
        <v>56798.91</v>
      </c>
      <c r="M274">
        <v>0.11528384279476001</v>
      </c>
      <c r="N274">
        <v>0</v>
      </c>
      <c r="O274" t="s">
        <v>18</v>
      </c>
      <c r="P274">
        <v>0</v>
      </c>
      <c r="Q274">
        <v>7401.24</v>
      </c>
    </row>
    <row r="275" spans="1:17" x14ac:dyDescent="0.3">
      <c r="A275" t="s">
        <v>303</v>
      </c>
      <c r="B275" t="s">
        <v>26</v>
      </c>
      <c r="C275" s="1">
        <v>44784</v>
      </c>
      <c r="D275" s="1">
        <v>44798</v>
      </c>
      <c r="E275" t="s">
        <v>27</v>
      </c>
      <c r="F275">
        <v>14</v>
      </c>
      <c r="G275" t="s">
        <v>21</v>
      </c>
      <c r="H275">
        <v>193</v>
      </c>
      <c r="I275">
        <v>63.86</v>
      </c>
      <c r="J275">
        <v>57.46</v>
      </c>
      <c r="K275">
        <v>12324.98</v>
      </c>
      <c r="L275">
        <v>11089.78</v>
      </c>
      <c r="M275">
        <v>0.100219229564673</v>
      </c>
      <c r="N275">
        <v>0</v>
      </c>
      <c r="O275" t="s">
        <v>18</v>
      </c>
      <c r="P275">
        <v>0</v>
      </c>
      <c r="Q275">
        <v>1235.2</v>
      </c>
    </row>
    <row r="276" spans="1:17" x14ac:dyDescent="0.3">
      <c r="A276" t="s">
        <v>304</v>
      </c>
      <c r="B276" t="s">
        <v>26</v>
      </c>
      <c r="C276" s="1">
        <v>44621</v>
      </c>
      <c r="D276" s="1">
        <v>44625</v>
      </c>
      <c r="E276" t="s">
        <v>29</v>
      </c>
      <c r="F276">
        <v>4</v>
      </c>
      <c r="G276" t="s">
        <v>21</v>
      </c>
      <c r="H276">
        <v>658</v>
      </c>
      <c r="I276">
        <v>86.62</v>
      </c>
      <c r="J276">
        <v>79.849999999999994</v>
      </c>
      <c r="K276">
        <v>56995.96</v>
      </c>
      <c r="L276">
        <v>52541.3</v>
      </c>
      <c r="M276">
        <v>7.8157469406603702E-2</v>
      </c>
      <c r="N276">
        <v>72</v>
      </c>
      <c r="O276" t="s">
        <v>18</v>
      </c>
      <c r="P276">
        <v>0.109422492401216</v>
      </c>
      <c r="Q276">
        <v>4454.66</v>
      </c>
    </row>
    <row r="277" spans="1:17" x14ac:dyDescent="0.3">
      <c r="A277" t="s">
        <v>305</v>
      </c>
      <c r="B277" t="s">
        <v>32</v>
      </c>
      <c r="C277" s="1">
        <v>45155</v>
      </c>
      <c r="D277" s="1">
        <v>45173</v>
      </c>
      <c r="E277" t="s">
        <v>42</v>
      </c>
      <c r="F277">
        <v>18</v>
      </c>
      <c r="G277" t="s">
        <v>21</v>
      </c>
      <c r="H277">
        <v>1274</v>
      </c>
      <c r="I277">
        <v>24.72</v>
      </c>
      <c r="J277">
        <v>23.36</v>
      </c>
      <c r="K277">
        <v>31493.279999999999</v>
      </c>
      <c r="L277">
        <v>29760.639999999999</v>
      </c>
      <c r="M277">
        <v>5.5016181229773399E-2</v>
      </c>
      <c r="N277">
        <v>37</v>
      </c>
      <c r="O277" t="s">
        <v>18</v>
      </c>
      <c r="P277">
        <v>2.90423861852433E-2</v>
      </c>
      <c r="Q277">
        <v>1732.64</v>
      </c>
    </row>
    <row r="278" spans="1:17" x14ac:dyDescent="0.3">
      <c r="A278" t="s">
        <v>306</v>
      </c>
      <c r="B278" t="s">
        <v>32</v>
      </c>
      <c r="C278" s="1">
        <v>45117</v>
      </c>
      <c r="D278" s="1">
        <v>45124</v>
      </c>
      <c r="E278" t="s">
        <v>27</v>
      </c>
      <c r="F278">
        <v>7</v>
      </c>
      <c r="G278" t="s">
        <v>36</v>
      </c>
      <c r="H278">
        <v>1197</v>
      </c>
      <c r="I278">
        <v>88.92</v>
      </c>
      <c r="J278">
        <v>78.819999999999993</v>
      </c>
      <c r="K278">
        <v>106437.24</v>
      </c>
      <c r="L278">
        <v>94347.54</v>
      </c>
      <c r="M278">
        <v>0.11358524516419299</v>
      </c>
      <c r="N278">
        <v>31</v>
      </c>
      <c r="O278" t="s">
        <v>18</v>
      </c>
      <c r="P278">
        <v>2.58980785296575E-2</v>
      </c>
      <c r="Q278">
        <v>12089.7</v>
      </c>
    </row>
    <row r="279" spans="1:17" x14ac:dyDescent="0.3">
      <c r="A279" t="s">
        <v>307</v>
      </c>
      <c r="B279" t="s">
        <v>23</v>
      </c>
      <c r="C279" s="1">
        <v>44624</v>
      </c>
      <c r="D279" s="1">
        <v>44632</v>
      </c>
      <c r="E279" t="s">
        <v>42</v>
      </c>
      <c r="F279">
        <v>8</v>
      </c>
      <c r="G279" t="s">
        <v>21</v>
      </c>
      <c r="H279">
        <v>236</v>
      </c>
      <c r="I279">
        <v>28.43</v>
      </c>
      <c r="J279">
        <v>28.11</v>
      </c>
      <c r="K279">
        <v>6709.48</v>
      </c>
      <c r="L279">
        <v>6633.96</v>
      </c>
      <c r="M279">
        <v>1.12557157931762E-2</v>
      </c>
      <c r="N279">
        <v>11</v>
      </c>
      <c r="O279" t="s">
        <v>18</v>
      </c>
      <c r="P279">
        <v>4.6610169491525397E-2</v>
      </c>
      <c r="Q279">
        <v>75.52</v>
      </c>
    </row>
    <row r="280" spans="1:17" x14ac:dyDescent="0.3">
      <c r="A280" t="s">
        <v>308</v>
      </c>
      <c r="B280" t="s">
        <v>23</v>
      </c>
      <c r="C280" s="1">
        <v>44883</v>
      </c>
      <c r="D280" s="1">
        <v>44898</v>
      </c>
      <c r="E280" t="s">
        <v>29</v>
      </c>
      <c r="F280">
        <v>15</v>
      </c>
      <c r="G280" t="s">
        <v>36</v>
      </c>
      <c r="H280">
        <v>1399</v>
      </c>
      <c r="I280">
        <v>25.97</v>
      </c>
      <c r="J280">
        <v>22.19</v>
      </c>
      <c r="K280">
        <v>36332.03</v>
      </c>
      <c r="L280">
        <v>31043.81</v>
      </c>
      <c r="M280">
        <v>0.1455525606469</v>
      </c>
      <c r="N280">
        <v>62</v>
      </c>
      <c r="O280" t="s">
        <v>18</v>
      </c>
      <c r="P280">
        <v>4.4317369549678298E-2</v>
      </c>
      <c r="Q280">
        <v>5288.22</v>
      </c>
    </row>
    <row r="281" spans="1:17" x14ac:dyDescent="0.3">
      <c r="A281" t="s">
        <v>309</v>
      </c>
      <c r="B281" t="s">
        <v>23</v>
      </c>
      <c r="C281" s="1">
        <v>44620</v>
      </c>
      <c r="D281" s="1">
        <v>44624</v>
      </c>
      <c r="E281" t="s">
        <v>42</v>
      </c>
      <c r="F281">
        <v>4</v>
      </c>
      <c r="G281" t="s">
        <v>21</v>
      </c>
      <c r="H281">
        <v>513</v>
      </c>
      <c r="I281">
        <v>24.91</v>
      </c>
      <c r="J281">
        <v>22.58</v>
      </c>
      <c r="K281">
        <v>12778.83</v>
      </c>
      <c r="L281">
        <v>11583.54</v>
      </c>
      <c r="M281">
        <v>9.3536732236049802E-2</v>
      </c>
      <c r="N281">
        <v>29</v>
      </c>
      <c r="O281" t="s">
        <v>18</v>
      </c>
      <c r="P281">
        <v>5.6530214424951299E-2</v>
      </c>
      <c r="Q281">
        <v>1195.29</v>
      </c>
    </row>
    <row r="282" spans="1:17" x14ac:dyDescent="0.3">
      <c r="A282" t="s">
        <v>310</v>
      </c>
      <c r="B282" t="s">
        <v>20</v>
      </c>
      <c r="C282" s="1">
        <v>44613</v>
      </c>
      <c r="D282" s="1">
        <v>44624</v>
      </c>
      <c r="E282" t="s">
        <v>24</v>
      </c>
      <c r="F282">
        <v>11</v>
      </c>
      <c r="G282" t="s">
        <v>21</v>
      </c>
      <c r="H282">
        <v>1422</v>
      </c>
      <c r="I282">
        <v>83.73</v>
      </c>
      <c r="J282">
        <v>76.47</v>
      </c>
      <c r="K282">
        <v>119064.06</v>
      </c>
      <c r="L282">
        <v>108740.34</v>
      </c>
      <c r="M282">
        <v>8.6707273378717406E-2</v>
      </c>
      <c r="N282">
        <v>198</v>
      </c>
      <c r="O282" t="s">
        <v>18</v>
      </c>
      <c r="P282">
        <v>0.139240506329114</v>
      </c>
      <c r="Q282">
        <v>10323.719999999999</v>
      </c>
    </row>
    <row r="283" spans="1:17" x14ac:dyDescent="0.3">
      <c r="A283" t="s">
        <v>311</v>
      </c>
      <c r="B283" t="s">
        <v>15</v>
      </c>
      <c r="C283" s="1">
        <v>45160</v>
      </c>
      <c r="D283" s="1">
        <v>45172</v>
      </c>
      <c r="E283" t="s">
        <v>16</v>
      </c>
      <c r="F283">
        <v>12</v>
      </c>
      <c r="G283" t="s">
        <v>21</v>
      </c>
      <c r="H283">
        <v>1844</v>
      </c>
      <c r="I283">
        <v>76.510000000000005</v>
      </c>
      <c r="J283">
        <v>73.05</v>
      </c>
      <c r="K283">
        <v>141084.44</v>
      </c>
      <c r="L283">
        <v>134704.20000000001</v>
      </c>
      <c r="M283">
        <v>4.5222846686707799E-2</v>
      </c>
      <c r="N283">
        <v>0</v>
      </c>
      <c r="O283" t="s">
        <v>18</v>
      </c>
      <c r="P283">
        <v>0</v>
      </c>
      <c r="Q283">
        <v>6380.24</v>
      </c>
    </row>
    <row r="284" spans="1:17" x14ac:dyDescent="0.3">
      <c r="A284" t="s">
        <v>312</v>
      </c>
      <c r="B284" t="s">
        <v>20</v>
      </c>
      <c r="C284" s="1">
        <v>45076</v>
      </c>
      <c r="D284" s="1">
        <v>45092</v>
      </c>
      <c r="E284" t="s">
        <v>24</v>
      </c>
      <c r="F284">
        <v>16</v>
      </c>
      <c r="G284" t="s">
        <v>21</v>
      </c>
      <c r="H284">
        <v>813</v>
      </c>
      <c r="I284">
        <v>45.68</v>
      </c>
      <c r="J284">
        <v>41.78</v>
      </c>
      <c r="K284">
        <v>37137.839999999997</v>
      </c>
      <c r="L284">
        <v>33967.14</v>
      </c>
      <c r="M284">
        <v>8.5376532399299404E-2</v>
      </c>
      <c r="N284">
        <v>0</v>
      </c>
      <c r="O284" t="s">
        <v>30</v>
      </c>
      <c r="P284">
        <v>0</v>
      </c>
      <c r="Q284">
        <v>3170.7</v>
      </c>
    </row>
    <row r="285" spans="1:17" x14ac:dyDescent="0.3">
      <c r="A285" t="s">
        <v>313</v>
      </c>
      <c r="B285" t="s">
        <v>20</v>
      </c>
      <c r="C285" s="1">
        <v>45105</v>
      </c>
      <c r="D285" s="1">
        <v>45108</v>
      </c>
      <c r="E285" t="s">
        <v>16</v>
      </c>
      <c r="F285">
        <v>3</v>
      </c>
      <c r="G285" t="s">
        <v>21</v>
      </c>
      <c r="H285">
        <v>1004</v>
      </c>
      <c r="I285">
        <v>96.51</v>
      </c>
      <c r="J285">
        <v>92.9</v>
      </c>
      <c r="K285">
        <v>96896.04</v>
      </c>
      <c r="L285">
        <v>93271.6</v>
      </c>
      <c r="M285">
        <v>3.7405450212413198E-2</v>
      </c>
      <c r="N285">
        <v>146</v>
      </c>
      <c r="O285" t="s">
        <v>30</v>
      </c>
      <c r="P285">
        <v>0.14541832669322699</v>
      </c>
      <c r="Q285">
        <v>3624.44</v>
      </c>
    </row>
    <row r="286" spans="1:17" x14ac:dyDescent="0.3">
      <c r="A286" t="s">
        <v>314</v>
      </c>
      <c r="B286" t="s">
        <v>32</v>
      </c>
      <c r="C286" s="1">
        <v>44723</v>
      </c>
      <c r="D286" s="1">
        <v>44727</v>
      </c>
      <c r="E286" t="s">
        <v>29</v>
      </c>
      <c r="F286">
        <v>4</v>
      </c>
      <c r="G286" t="s">
        <v>21</v>
      </c>
      <c r="H286">
        <v>452</v>
      </c>
      <c r="I286">
        <v>46.45</v>
      </c>
      <c r="J286">
        <v>40.39</v>
      </c>
      <c r="K286">
        <v>20995.4</v>
      </c>
      <c r="L286">
        <v>18256.28</v>
      </c>
      <c r="M286">
        <v>0.130462863293864</v>
      </c>
      <c r="N286">
        <v>9</v>
      </c>
      <c r="O286" t="s">
        <v>18</v>
      </c>
      <c r="P286">
        <v>1.9911504424778799E-2</v>
      </c>
      <c r="Q286">
        <v>2739.12</v>
      </c>
    </row>
    <row r="287" spans="1:17" x14ac:dyDescent="0.3">
      <c r="A287" t="s">
        <v>315</v>
      </c>
      <c r="B287" t="s">
        <v>26</v>
      </c>
      <c r="C287" s="1">
        <v>44620</v>
      </c>
      <c r="D287" s="1">
        <v>44632</v>
      </c>
      <c r="E287" t="s">
        <v>29</v>
      </c>
      <c r="F287">
        <v>12</v>
      </c>
      <c r="G287" t="s">
        <v>38</v>
      </c>
      <c r="H287">
        <v>1419</v>
      </c>
      <c r="I287">
        <v>83.91</v>
      </c>
      <c r="J287">
        <v>71.459999999999994</v>
      </c>
      <c r="K287">
        <v>119068.29</v>
      </c>
      <c r="L287">
        <v>101401.74</v>
      </c>
      <c r="M287">
        <v>0.14837325706113699</v>
      </c>
      <c r="N287">
        <v>137</v>
      </c>
      <c r="O287" t="s">
        <v>18</v>
      </c>
      <c r="P287">
        <v>9.6546863988724405E-2</v>
      </c>
      <c r="Q287">
        <v>17666.55</v>
      </c>
    </row>
    <row r="288" spans="1:17" x14ac:dyDescent="0.3">
      <c r="A288" t="s">
        <v>316</v>
      </c>
      <c r="B288" t="s">
        <v>26</v>
      </c>
      <c r="C288" s="1">
        <v>45082</v>
      </c>
      <c r="D288" s="1">
        <v>45100</v>
      </c>
      <c r="E288" t="s">
        <v>27</v>
      </c>
      <c r="F288">
        <v>18</v>
      </c>
      <c r="G288" t="s">
        <v>21</v>
      </c>
      <c r="H288">
        <v>1584</v>
      </c>
      <c r="I288">
        <v>53.73</v>
      </c>
      <c r="J288">
        <v>51.92</v>
      </c>
      <c r="K288">
        <v>85108.32</v>
      </c>
      <c r="L288">
        <v>82241.279999999999</v>
      </c>
      <c r="M288">
        <v>3.36869532849432E-2</v>
      </c>
      <c r="N288">
        <v>167</v>
      </c>
      <c r="O288" t="s">
        <v>30</v>
      </c>
      <c r="P288">
        <v>0.105429292929293</v>
      </c>
      <c r="Q288">
        <v>2867.04</v>
      </c>
    </row>
    <row r="289" spans="1:17" x14ac:dyDescent="0.3">
      <c r="A289" t="s">
        <v>317</v>
      </c>
      <c r="B289" t="s">
        <v>23</v>
      </c>
      <c r="C289" s="1">
        <v>44644</v>
      </c>
      <c r="D289" s="1">
        <v>44662</v>
      </c>
      <c r="E289" t="s">
        <v>24</v>
      </c>
      <c r="F289">
        <v>18</v>
      </c>
      <c r="G289" t="s">
        <v>38</v>
      </c>
      <c r="H289">
        <v>196</v>
      </c>
      <c r="I289">
        <v>44.36</v>
      </c>
      <c r="J289">
        <v>43.81</v>
      </c>
      <c r="K289">
        <v>8694.56</v>
      </c>
      <c r="L289">
        <v>8586.76</v>
      </c>
      <c r="M289">
        <v>1.23985572587916E-2</v>
      </c>
      <c r="N289">
        <v>6</v>
      </c>
      <c r="O289" t="s">
        <v>18</v>
      </c>
      <c r="P289">
        <v>3.06122448979592E-2</v>
      </c>
      <c r="Q289">
        <v>107.8</v>
      </c>
    </row>
    <row r="290" spans="1:17" x14ac:dyDescent="0.3">
      <c r="A290" t="s">
        <v>318</v>
      </c>
      <c r="B290" t="s">
        <v>15</v>
      </c>
      <c r="C290" s="1">
        <v>44752</v>
      </c>
      <c r="D290" s="1">
        <v>44756</v>
      </c>
      <c r="E290" t="s">
        <v>16</v>
      </c>
      <c r="F290">
        <v>4</v>
      </c>
      <c r="G290" t="s">
        <v>21</v>
      </c>
      <c r="H290">
        <v>1221</v>
      </c>
      <c r="I290">
        <v>53.19</v>
      </c>
      <c r="J290">
        <v>46.18</v>
      </c>
      <c r="K290">
        <v>64944.99</v>
      </c>
      <c r="L290">
        <v>56385.78</v>
      </c>
      <c r="M290">
        <v>0.131791690167325</v>
      </c>
      <c r="N290">
        <v>29</v>
      </c>
      <c r="O290" t="s">
        <v>18</v>
      </c>
      <c r="P290">
        <v>2.3751023751023798E-2</v>
      </c>
      <c r="Q290">
        <v>8559.2099999999991</v>
      </c>
    </row>
    <row r="291" spans="1:17" x14ac:dyDescent="0.3">
      <c r="A291" t="s">
        <v>319</v>
      </c>
      <c r="B291" t="s">
        <v>15</v>
      </c>
      <c r="C291" s="1">
        <v>44632</v>
      </c>
      <c r="D291" s="1">
        <v>44646</v>
      </c>
      <c r="E291" t="s">
        <v>27</v>
      </c>
      <c r="F291">
        <v>14</v>
      </c>
      <c r="G291" t="s">
        <v>21</v>
      </c>
      <c r="H291">
        <v>913</v>
      </c>
      <c r="I291">
        <v>37.5</v>
      </c>
      <c r="J291">
        <v>36.200000000000003</v>
      </c>
      <c r="K291">
        <v>34237.5</v>
      </c>
      <c r="L291">
        <v>33050.6</v>
      </c>
      <c r="M291">
        <v>3.4666666666666499E-2</v>
      </c>
      <c r="N291">
        <v>0</v>
      </c>
      <c r="O291" t="s">
        <v>18</v>
      </c>
      <c r="P291">
        <v>0</v>
      </c>
      <c r="Q291">
        <v>1186.9000000000001</v>
      </c>
    </row>
    <row r="292" spans="1:17" x14ac:dyDescent="0.3">
      <c r="A292" t="s">
        <v>320</v>
      </c>
      <c r="B292" t="s">
        <v>15</v>
      </c>
      <c r="C292" s="1">
        <v>45171</v>
      </c>
      <c r="D292" s="1">
        <v>45173</v>
      </c>
      <c r="E292" t="s">
        <v>27</v>
      </c>
      <c r="F292">
        <v>2</v>
      </c>
      <c r="G292" t="s">
        <v>21</v>
      </c>
      <c r="H292">
        <v>1784</v>
      </c>
      <c r="I292">
        <v>85.01</v>
      </c>
      <c r="J292">
        <v>76.69</v>
      </c>
      <c r="K292">
        <v>151657.84</v>
      </c>
      <c r="L292">
        <v>136814.96</v>
      </c>
      <c r="M292">
        <v>9.7870838724855899E-2</v>
      </c>
      <c r="N292">
        <v>37</v>
      </c>
      <c r="O292" t="s">
        <v>18</v>
      </c>
      <c r="P292">
        <v>2.0739910313901301E-2</v>
      </c>
      <c r="Q292">
        <v>14842.88</v>
      </c>
    </row>
    <row r="293" spans="1:17" x14ac:dyDescent="0.3">
      <c r="A293" t="s">
        <v>321</v>
      </c>
      <c r="B293" t="s">
        <v>20</v>
      </c>
      <c r="C293" s="1">
        <v>45253</v>
      </c>
      <c r="D293" s="1">
        <v>45265</v>
      </c>
      <c r="E293" t="s">
        <v>42</v>
      </c>
      <c r="F293">
        <v>12</v>
      </c>
      <c r="G293" t="s">
        <v>38</v>
      </c>
      <c r="H293">
        <v>538</v>
      </c>
      <c r="I293">
        <v>34.299999999999997</v>
      </c>
      <c r="J293">
        <v>32.25</v>
      </c>
      <c r="K293">
        <v>18453.400000000001</v>
      </c>
      <c r="L293">
        <v>17350.5</v>
      </c>
      <c r="M293">
        <v>5.9766763848396402E-2</v>
      </c>
      <c r="N293">
        <v>84</v>
      </c>
      <c r="O293" t="s">
        <v>30</v>
      </c>
      <c r="P293">
        <v>0.156133828996283</v>
      </c>
      <c r="Q293">
        <v>1102.9000000000001</v>
      </c>
    </row>
    <row r="294" spans="1:17" x14ac:dyDescent="0.3">
      <c r="A294" t="s">
        <v>322</v>
      </c>
      <c r="B294" t="s">
        <v>20</v>
      </c>
      <c r="C294" s="1">
        <v>44802</v>
      </c>
      <c r="D294" s="1">
        <v>44819</v>
      </c>
      <c r="E294" t="s">
        <v>16</v>
      </c>
      <c r="F294">
        <v>17</v>
      </c>
      <c r="G294" t="s">
        <v>38</v>
      </c>
      <c r="H294">
        <v>978</v>
      </c>
      <c r="I294">
        <v>94.15</v>
      </c>
      <c r="J294">
        <v>87.7</v>
      </c>
      <c r="K294">
        <v>92078.7</v>
      </c>
      <c r="L294">
        <v>85770.6</v>
      </c>
      <c r="M294">
        <v>6.8507700477960801E-2</v>
      </c>
      <c r="N294">
        <v>149</v>
      </c>
      <c r="O294" t="s">
        <v>30</v>
      </c>
      <c r="P294">
        <v>0.15235173824130899</v>
      </c>
      <c r="Q294">
        <v>6308.1</v>
      </c>
    </row>
    <row r="295" spans="1:17" x14ac:dyDescent="0.3">
      <c r="A295" t="s">
        <v>323</v>
      </c>
      <c r="B295" t="s">
        <v>32</v>
      </c>
      <c r="C295" s="1">
        <v>44975</v>
      </c>
      <c r="D295" s="1">
        <v>44991</v>
      </c>
      <c r="E295" t="s">
        <v>29</v>
      </c>
      <c r="F295">
        <v>16</v>
      </c>
      <c r="G295" t="s">
        <v>17</v>
      </c>
      <c r="H295">
        <v>1713</v>
      </c>
      <c r="I295">
        <v>47.45</v>
      </c>
      <c r="J295">
        <v>42.05</v>
      </c>
      <c r="K295">
        <v>81281.850000000006</v>
      </c>
      <c r="L295">
        <v>72031.649999999994</v>
      </c>
      <c r="M295">
        <v>0.11380400421496301</v>
      </c>
      <c r="N295">
        <v>53</v>
      </c>
      <c r="O295" t="s">
        <v>18</v>
      </c>
      <c r="P295">
        <v>3.0939871570344401E-2</v>
      </c>
      <c r="Q295">
        <v>9250.2000000000007</v>
      </c>
    </row>
    <row r="296" spans="1:17" x14ac:dyDescent="0.3">
      <c r="A296" t="s">
        <v>324</v>
      </c>
      <c r="B296" t="s">
        <v>20</v>
      </c>
      <c r="C296" s="1">
        <v>44684</v>
      </c>
      <c r="D296" s="1">
        <v>44688</v>
      </c>
      <c r="E296" t="s">
        <v>29</v>
      </c>
      <c r="F296">
        <v>4</v>
      </c>
      <c r="G296" t="s">
        <v>38</v>
      </c>
      <c r="H296">
        <v>600</v>
      </c>
      <c r="I296">
        <v>60.1</v>
      </c>
      <c r="J296">
        <v>57.92</v>
      </c>
      <c r="K296">
        <v>36060</v>
      </c>
      <c r="L296">
        <v>34752</v>
      </c>
      <c r="M296">
        <v>3.6272878535773698E-2</v>
      </c>
      <c r="N296">
        <v>95</v>
      </c>
      <c r="O296" t="s">
        <v>30</v>
      </c>
      <c r="P296">
        <v>0.15833333333333299</v>
      </c>
      <c r="Q296">
        <v>1308</v>
      </c>
    </row>
    <row r="297" spans="1:17" x14ac:dyDescent="0.3">
      <c r="A297" t="s">
        <v>325</v>
      </c>
      <c r="B297" t="s">
        <v>15</v>
      </c>
      <c r="C297" s="1">
        <v>45145</v>
      </c>
      <c r="D297" s="1">
        <v>45163</v>
      </c>
      <c r="E297" t="s">
        <v>42</v>
      </c>
      <c r="F297">
        <v>18</v>
      </c>
      <c r="G297" t="s">
        <v>38</v>
      </c>
      <c r="H297">
        <v>387</v>
      </c>
      <c r="I297">
        <v>100.28</v>
      </c>
      <c r="J297">
        <v>85.54</v>
      </c>
      <c r="K297">
        <v>38808.36</v>
      </c>
      <c r="L297">
        <v>33103.980000000003</v>
      </c>
      <c r="M297">
        <v>0.14698843238931</v>
      </c>
      <c r="N297">
        <v>5</v>
      </c>
      <c r="O297" t="s">
        <v>18</v>
      </c>
      <c r="P297">
        <v>1.29198966408269E-2</v>
      </c>
      <c r="Q297">
        <v>5704.38</v>
      </c>
    </row>
    <row r="298" spans="1:17" x14ac:dyDescent="0.3">
      <c r="A298" t="s">
        <v>326</v>
      </c>
      <c r="B298" t="s">
        <v>15</v>
      </c>
      <c r="C298" s="1">
        <v>44814</v>
      </c>
      <c r="D298" s="1">
        <v>44823</v>
      </c>
      <c r="E298" t="s">
        <v>24</v>
      </c>
      <c r="F298">
        <v>9</v>
      </c>
      <c r="G298" t="s">
        <v>38</v>
      </c>
      <c r="H298">
        <v>921</v>
      </c>
      <c r="I298">
        <v>68.83</v>
      </c>
      <c r="J298">
        <v>59.13</v>
      </c>
      <c r="K298">
        <v>63392.43</v>
      </c>
      <c r="L298">
        <v>54458.73</v>
      </c>
      <c r="M298">
        <v>0.14092692140055199</v>
      </c>
      <c r="N298">
        <v>22</v>
      </c>
      <c r="O298" t="s">
        <v>18</v>
      </c>
      <c r="P298">
        <v>2.3887079261672099E-2</v>
      </c>
      <c r="Q298">
        <v>8933.7000000000007</v>
      </c>
    </row>
    <row r="299" spans="1:17" x14ac:dyDescent="0.3">
      <c r="A299" t="s">
        <v>327</v>
      </c>
      <c r="B299" t="s">
        <v>26</v>
      </c>
      <c r="C299" s="1">
        <v>45154</v>
      </c>
      <c r="D299" s="1">
        <v>45168</v>
      </c>
      <c r="E299" t="s">
        <v>24</v>
      </c>
      <c r="F299">
        <v>14</v>
      </c>
      <c r="G299" t="s">
        <v>21</v>
      </c>
      <c r="H299">
        <v>690</v>
      </c>
      <c r="I299">
        <v>22.47</v>
      </c>
      <c r="J299">
        <v>21.94</v>
      </c>
      <c r="K299">
        <v>15504.3</v>
      </c>
      <c r="L299">
        <v>15138.6</v>
      </c>
      <c r="M299">
        <v>2.3587004895416E-2</v>
      </c>
      <c r="N299">
        <v>77</v>
      </c>
      <c r="O299" t="s">
        <v>18</v>
      </c>
      <c r="P299">
        <v>0.111594202898551</v>
      </c>
      <c r="Q299">
        <v>365.7</v>
      </c>
    </row>
    <row r="300" spans="1:17" x14ac:dyDescent="0.3">
      <c r="A300" t="s">
        <v>328</v>
      </c>
      <c r="B300" t="s">
        <v>15</v>
      </c>
      <c r="C300" s="1">
        <v>45170</v>
      </c>
      <c r="D300" s="1">
        <v>45190</v>
      </c>
      <c r="E300" t="s">
        <v>16</v>
      </c>
      <c r="F300">
        <v>20</v>
      </c>
      <c r="G300" t="s">
        <v>17</v>
      </c>
      <c r="H300">
        <v>1852</v>
      </c>
      <c r="I300">
        <v>104.04</v>
      </c>
      <c r="J300">
        <v>94.89</v>
      </c>
      <c r="K300">
        <v>192682.08</v>
      </c>
      <c r="L300">
        <v>175736.28</v>
      </c>
      <c r="M300">
        <v>8.7946943483275794E-2</v>
      </c>
      <c r="N300">
        <v>36</v>
      </c>
      <c r="O300" t="s">
        <v>18</v>
      </c>
      <c r="P300">
        <v>1.9438444924405999E-2</v>
      </c>
      <c r="Q300">
        <v>16945.8</v>
      </c>
    </row>
    <row r="301" spans="1:17" x14ac:dyDescent="0.3">
      <c r="A301" t="s">
        <v>329</v>
      </c>
      <c r="B301" t="s">
        <v>20</v>
      </c>
      <c r="C301" s="1">
        <v>44602</v>
      </c>
      <c r="D301" s="1">
        <v>44620</v>
      </c>
      <c r="E301" t="s">
        <v>42</v>
      </c>
      <c r="F301">
        <v>18</v>
      </c>
      <c r="G301" t="s">
        <v>21</v>
      </c>
      <c r="H301">
        <v>522</v>
      </c>
      <c r="I301">
        <v>66.83</v>
      </c>
      <c r="J301">
        <v>58.01</v>
      </c>
      <c r="K301">
        <v>34885.26</v>
      </c>
      <c r="L301">
        <v>30281.22</v>
      </c>
      <c r="M301">
        <v>0.13197665718988499</v>
      </c>
      <c r="N301">
        <v>74</v>
      </c>
      <c r="O301" t="s">
        <v>18</v>
      </c>
      <c r="P301">
        <v>0.14176245210728</v>
      </c>
      <c r="Q301">
        <v>4604.04</v>
      </c>
    </row>
    <row r="302" spans="1:17" x14ac:dyDescent="0.3">
      <c r="A302" t="s">
        <v>330</v>
      </c>
      <c r="B302" t="s">
        <v>20</v>
      </c>
      <c r="C302" s="1">
        <v>45196</v>
      </c>
      <c r="D302" s="1">
        <v>45205</v>
      </c>
      <c r="E302" t="s">
        <v>42</v>
      </c>
      <c r="F302">
        <v>9</v>
      </c>
      <c r="G302" t="s">
        <v>21</v>
      </c>
      <c r="H302">
        <v>200</v>
      </c>
      <c r="I302">
        <v>44.16</v>
      </c>
      <c r="J302">
        <v>43.13</v>
      </c>
      <c r="K302">
        <v>8832</v>
      </c>
      <c r="L302">
        <v>8626</v>
      </c>
      <c r="M302">
        <v>2.3324275362318798E-2</v>
      </c>
      <c r="N302">
        <v>21</v>
      </c>
      <c r="O302" t="s">
        <v>18</v>
      </c>
      <c r="P302">
        <v>0.105</v>
      </c>
      <c r="Q302">
        <v>206</v>
      </c>
    </row>
    <row r="303" spans="1:17" x14ac:dyDescent="0.3">
      <c r="A303" t="s">
        <v>331</v>
      </c>
      <c r="B303" t="s">
        <v>23</v>
      </c>
      <c r="C303" s="1">
        <v>44645</v>
      </c>
      <c r="D303" s="1">
        <v>44654</v>
      </c>
      <c r="E303" t="s">
        <v>27</v>
      </c>
      <c r="F303">
        <v>9</v>
      </c>
      <c r="G303" t="s">
        <v>21</v>
      </c>
      <c r="H303">
        <v>1488</v>
      </c>
      <c r="I303">
        <v>22.76</v>
      </c>
      <c r="J303">
        <v>21.99</v>
      </c>
      <c r="K303">
        <v>33866.879999999997</v>
      </c>
      <c r="L303">
        <v>32721.119999999999</v>
      </c>
      <c r="M303">
        <v>3.3831282952548503E-2</v>
      </c>
      <c r="N303">
        <v>0</v>
      </c>
      <c r="O303" t="s">
        <v>18</v>
      </c>
      <c r="P303">
        <v>0</v>
      </c>
      <c r="Q303">
        <v>1145.76</v>
      </c>
    </row>
    <row r="304" spans="1:17" x14ac:dyDescent="0.3">
      <c r="A304" t="s">
        <v>332</v>
      </c>
      <c r="B304" t="s">
        <v>32</v>
      </c>
      <c r="C304" s="1">
        <v>44991</v>
      </c>
      <c r="D304" s="1">
        <v>45001</v>
      </c>
      <c r="E304" t="s">
        <v>42</v>
      </c>
      <c r="F304">
        <v>10</v>
      </c>
      <c r="G304" t="s">
        <v>21</v>
      </c>
      <c r="H304">
        <v>1371</v>
      </c>
      <c r="I304">
        <v>87.16</v>
      </c>
      <c r="J304">
        <v>78.13</v>
      </c>
      <c r="K304">
        <v>119496.36</v>
      </c>
      <c r="L304">
        <v>107116.23</v>
      </c>
      <c r="M304">
        <v>0.103602569986232</v>
      </c>
      <c r="N304">
        <v>43</v>
      </c>
      <c r="O304" t="s">
        <v>18</v>
      </c>
      <c r="P304">
        <v>3.1363967906637501E-2</v>
      </c>
      <c r="Q304">
        <v>12380.13</v>
      </c>
    </row>
    <row r="305" spans="1:17" x14ac:dyDescent="0.3">
      <c r="A305" t="s">
        <v>333</v>
      </c>
      <c r="B305" t="s">
        <v>32</v>
      </c>
      <c r="C305" s="1">
        <v>45159</v>
      </c>
      <c r="D305" s="1">
        <v>45165</v>
      </c>
      <c r="E305" t="s">
        <v>42</v>
      </c>
      <c r="F305">
        <v>6</v>
      </c>
      <c r="G305" t="s">
        <v>21</v>
      </c>
      <c r="H305">
        <v>312</v>
      </c>
      <c r="I305">
        <v>63.52</v>
      </c>
      <c r="J305">
        <v>58.09</v>
      </c>
      <c r="K305">
        <v>19818.240000000002</v>
      </c>
      <c r="L305">
        <v>18124.080000000002</v>
      </c>
      <c r="M305">
        <v>8.5484886649873998E-2</v>
      </c>
      <c r="N305">
        <v>0</v>
      </c>
      <c r="O305" t="s">
        <v>18</v>
      </c>
      <c r="P305">
        <v>0</v>
      </c>
      <c r="Q305">
        <v>1694.16</v>
      </c>
    </row>
    <row r="306" spans="1:17" x14ac:dyDescent="0.3">
      <c r="A306" t="s">
        <v>334</v>
      </c>
      <c r="B306" t="s">
        <v>15</v>
      </c>
      <c r="C306" s="1">
        <v>45140</v>
      </c>
      <c r="D306" s="1">
        <v>45159</v>
      </c>
      <c r="E306" t="s">
        <v>27</v>
      </c>
      <c r="F306">
        <v>19</v>
      </c>
      <c r="G306" t="s">
        <v>17</v>
      </c>
      <c r="H306">
        <v>1837</v>
      </c>
      <c r="I306">
        <v>99.04</v>
      </c>
      <c r="J306">
        <v>86.51</v>
      </c>
      <c r="K306">
        <v>181936.48</v>
      </c>
      <c r="L306">
        <v>158918.87</v>
      </c>
      <c r="M306">
        <v>0.126514539579968</v>
      </c>
      <c r="N306">
        <v>39</v>
      </c>
      <c r="O306" t="s">
        <v>18</v>
      </c>
      <c r="P306">
        <v>2.1230266739248799E-2</v>
      </c>
      <c r="Q306">
        <v>23017.61</v>
      </c>
    </row>
    <row r="307" spans="1:17" x14ac:dyDescent="0.3">
      <c r="A307" t="s">
        <v>335</v>
      </c>
      <c r="B307" t="s">
        <v>26</v>
      </c>
      <c r="C307" s="1">
        <v>45097</v>
      </c>
      <c r="D307" s="1">
        <v>45100</v>
      </c>
      <c r="E307" t="s">
        <v>24</v>
      </c>
      <c r="F307">
        <v>3</v>
      </c>
      <c r="G307" t="s">
        <v>21</v>
      </c>
      <c r="H307">
        <v>193</v>
      </c>
      <c r="I307">
        <v>87.86</v>
      </c>
      <c r="J307">
        <v>81.739999999999995</v>
      </c>
      <c r="K307">
        <v>16956.98</v>
      </c>
      <c r="L307">
        <v>15775.82</v>
      </c>
      <c r="M307">
        <v>6.9656271340769405E-2</v>
      </c>
      <c r="N307">
        <v>21</v>
      </c>
      <c r="O307" t="s">
        <v>18</v>
      </c>
      <c r="P307">
        <v>0.10880829015544</v>
      </c>
      <c r="Q307">
        <v>1181.1600000000001</v>
      </c>
    </row>
    <row r="308" spans="1:17" x14ac:dyDescent="0.3">
      <c r="A308" t="s">
        <v>336</v>
      </c>
      <c r="B308" t="s">
        <v>26</v>
      </c>
      <c r="C308" s="1">
        <v>44885</v>
      </c>
      <c r="D308" s="1">
        <v>44886</v>
      </c>
      <c r="E308" t="s">
        <v>42</v>
      </c>
      <c r="F308">
        <v>1</v>
      </c>
      <c r="G308" t="s">
        <v>21</v>
      </c>
      <c r="H308">
        <v>395</v>
      </c>
      <c r="I308">
        <v>24.83</v>
      </c>
      <c r="J308">
        <v>23.96</v>
      </c>
      <c r="K308">
        <v>9807.85</v>
      </c>
      <c r="L308">
        <v>9464.2000000000007</v>
      </c>
      <c r="M308">
        <v>3.5038260169150001E-2</v>
      </c>
      <c r="N308">
        <v>31</v>
      </c>
      <c r="O308" t="s">
        <v>18</v>
      </c>
      <c r="P308">
        <v>7.8481012658227794E-2</v>
      </c>
      <c r="Q308">
        <v>343.65</v>
      </c>
    </row>
    <row r="309" spans="1:17" x14ac:dyDescent="0.3">
      <c r="A309" t="s">
        <v>337</v>
      </c>
      <c r="B309" t="s">
        <v>32</v>
      </c>
      <c r="C309" s="1">
        <v>44829</v>
      </c>
      <c r="D309" s="1">
        <v>44846</v>
      </c>
      <c r="E309" t="s">
        <v>42</v>
      </c>
      <c r="F309">
        <v>17</v>
      </c>
      <c r="G309" t="s">
        <v>17</v>
      </c>
      <c r="H309">
        <v>673</v>
      </c>
      <c r="I309">
        <v>39.58</v>
      </c>
      <c r="J309">
        <v>35.83</v>
      </c>
      <c r="K309">
        <v>26637.34</v>
      </c>
      <c r="L309">
        <v>24113.59</v>
      </c>
      <c r="M309">
        <v>9.4744820616473005E-2</v>
      </c>
      <c r="N309">
        <v>25</v>
      </c>
      <c r="O309" t="s">
        <v>18</v>
      </c>
      <c r="P309">
        <v>3.7147102526002999E-2</v>
      </c>
      <c r="Q309">
        <v>2523.75</v>
      </c>
    </row>
    <row r="310" spans="1:17" x14ac:dyDescent="0.3">
      <c r="A310" t="s">
        <v>338</v>
      </c>
      <c r="B310" t="s">
        <v>20</v>
      </c>
      <c r="C310" s="1">
        <v>44771</v>
      </c>
      <c r="D310" s="1">
        <v>44785</v>
      </c>
      <c r="E310" t="s">
        <v>16</v>
      </c>
      <c r="F310">
        <v>14</v>
      </c>
      <c r="G310" t="s">
        <v>17</v>
      </c>
      <c r="H310">
        <v>1066</v>
      </c>
      <c r="I310">
        <v>33.33</v>
      </c>
      <c r="J310">
        <v>28.47</v>
      </c>
      <c r="K310">
        <v>35529.78</v>
      </c>
      <c r="L310">
        <v>30349.02</v>
      </c>
      <c r="M310">
        <v>0.14581458145814599</v>
      </c>
      <c r="N310">
        <v>162</v>
      </c>
      <c r="O310" t="s">
        <v>30</v>
      </c>
      <c r="P310">
        <v>0.15196998123827399</v>
      </c>
      <c r="Q310">
        <v>5180.76</v>
      </c>
    </row>
    <row r="311" spans="1:17" x14ac:dyDescent="0.3">
      <c r="A311" t="s">
        <v>339</v>
      </c>
      <c r="B311" t="s">
        <v>23</v>
      </c>
      <c r="C311" s="1">
        <v>45247</v>
      </c>
      <c r="D311" s="1">
        <v>45253</v>
      </c>
      <c r="E311" t="s">
        <v>27</v>
      </c>
      <c r="F311">
        <v>6</v>
      </c>
      <c r="G311" t="s">
        <v>21</v>
      </c>
      <c r="H311">
        <v>1645</v>
      </c>
      <c r="I311">
        <v>85.42</v>
      </c>
      <c r="J311">
        <v>80.78</v>
      </c>
      <c r="K311">
        <v>140515.9</v>
      </c>
      <c r="L311">
        <v>132883.1</v>
      </c>
      <c r="M311">
        <v>5.43198314212128E-2</v>
      </c>
      <c r="N311">
        <v>73</v>
      </c>
      <c r="O311" t="s">
        <v>30</v>
      </c>
      <c r="P311">
        <v>4.4376899696048598E-2</v>
      </c>
      <c r="Q311">
        <v>7632.8</v>
      </c>
    </row>
    <row r="312" spans="1:17" x14ac:dyDescent="0.3">
      <c r="A312" t="s">
        <v>340</v>
      </c>
      <c r="B312" t="s">
        <v>15</v>
      </c>
      <c r="C312" s="1">
        <v>44883</v>
      </c>
      <c r="D312" s="1">
        <v>44894</v>
      </c>
      <c r="E312" t="s">
        <v>42</v>
      </c>
      <c r="F312">
        <v>11</v>
      </c>
      <c r="G312" t="s">
        <v>21</v>
      </c>
      <c r="H312">
        <v>930</v>
      </c>
      <c r="I312">
        <v>13.67</v>
      </c>
      <c r="J312">
        <v>11.95</v>
      </c>
      <c r="K312">
        <v>12713.1</v>
      </c>
      <c r="L312">
        <v>11113.5</v>
      </c>
      <c r="M312">
        <v>0.12582297000731499</v>
      </c>
      <c r="N312">
        <v>16</v>
      </c>
      <c r="O312" t="s">
        <v>18</v>
      </c>
      <c r="P312">
        <v>1.72043010752688E-2</v>
      </c>
      <c r="Q312">
        <v>1599.6</v>
      </c>
    </row>
    <row r="313" spans="1:17" x14ac:dyDescent="0.3">
      <c r="A313" t="s">
        <v>341</v>
      </c>
      <c r="B313" t="s">
        <v>15</v>
      </c>
      <c r="C313" s="1">
        <v>44806</v>
      </c>
      <c r="D313" s="1">
        <v>44825</v>
      </c>
      <c r="E313" t="s">
        <v>16</v>
      </c>
      <c r="F313">
        <v>19</v>
      </c>
      <c r="G313" t="s">
        <v>21</v>
      </c>
      <c r="H313">
        <v>51</v>
      </c>
      <c r="I313">
        <v>63.74</v>
      </c>
      <c r="J313">
        <v>56.1</v>
      </c>
      <c r="K313">
        <v>3250.74</v>
      </c>
      <c r="L313">
        <v>2861.1</v>
      </c>
      <c r="M313">
        <v>0.119861939127706</v>
      </c>
      <c r="N313">
        <v>0</v>
      </c>
      <c r="O313" t="s">
        <v>18</v>
      </c>
      <c r="P313">
        <v>0</v>
      </c>
      <c r="Q313">
        <v>389.64</v>
      </c>
    </row>
    <row r="314" spans="1:17" x14ac:dyDescent="0.3">
      <c r="A314" t="s">
        <v>342</v>
      </c>
      <c r="B314" t="s">
        <v>23</v>
      </c>
      <c r="C314" s="1">
        <v>44833</v>
      </c>
      <c r="D314" s="1">
        <v>44835</v>
      </c>
      <c r="E314" t="s">
        <v>27</v>
      </c>
      <c r="F314">
        <v>2</v>
      </c>
      <c r="G314" t="s">
        <v>21</v>
      </c>
      <c r="H314">
        <v>946</v>
      </c>
      <c r="I314">
        <v>81.77</v>
      </c>
      <c r="J314">
        <v>71.650000000000006</v>
      </c>
      <c r="K314">
        <v>77354.42</v>
      </c>
      <c r="L314">
        <v>67780.899999999994</v>
      </c>
      <c r="M314">
        <v>0.123761770820594</v>
      </c>
      <c r="N314">
        <v>55</v>
      </c>
      <c r="O314" t="s">
        <v>18</v>
      </c>
      <c r="P314">
        <v>5.8139534883720902E-2</v>
      </c>
      <c r="Q314">
        <v>9573.52</v>
      </c>
    </row>
    <row r="315" spans="1:17" x14ac:dyDescent="0.3">
      <c r="A315" t="s">
        <v>343</v>
      </c>
      <c r="B315" t="s">
        <v>32</v>
      </c>
      <c r="C315" s="1">
        <v>44967</v>
      </c>
      <c r="D315" s="1">
        <v>44987</v>
      </c>
      <c r="E315" t="s">
        <v>29</v>
      </c>
      <c r="F315">
        <v>20</v>
      </c>
      <c r="G315" t="s">
        <v>36</v>
      </c>
      <c r="H315">
        <v>1377</v>
      </c>
      <c r="I315">
        <v>94.69</v>
      </c>
      <c r="J315">
        <v>84.2</v>
      </c>
      <c r="K315">
        <v>130388.13</v>
      </c>
      <c r="L315">
        <v>115943.4</v>
      </c>
      <c r="M315">
        <v>0.11078255359594499</v>
      </c>
      <c r="N315">
        <v>0</v>
      </c>
      <c r="O315" t="s">
        <v>18</v>
      </c>
      <c r="P315">
        <v>0</v>
      </c>
      <c r="Q315">
        <v>14444.73</v>
      </c>
    </row>
    <row r="316" spans="1:17" x14ac:dyDescent="0.3">
      <c r="A316" t="s">
        <v>344</v>
      </c>
      <c r="B316" t="s">
        <v>32</v>
      </c>
      <c r="C316" s="1">
        <v>44696</v>
      </c>
      <c r="D316" s="1">
        <v>44699</v>
      </c>
      <c r="E316" t="s">
        <v>27</v>
      </c>
      <c r="F316">
        <v>3</v>
      </c>
      <c r="G316" t="s">
        <v>17</v>
      </c>
      <c r="H316">
        <v>303</v>
      </c>
      <c r="I316">
        <v>41.6</v>
      </c>
      <c r="J316">
        <v>40.51</v>
      </c>
      <c r="K316">
        <v>12604.8</v>
      </c>
      <c r="L316">
        <v>12274.53</v>
      </c>
      <c r="M316">
        <v>2.62019230769233E-2</v>
      </c>
      <c r="N316">
        <v>11</v>
      </c>
      <c r="O316" t="s">
        <v>18</v>
      </c>
      <c r="P316">
        <v>3.6303630363036299E-2</v>
      </c>
      <c r="Q316">
        <v>330.27</v>
      </c>
    </row>
    <row r="317" spans="1:17" x14ac:dyDescent="0.3">
      <c r="A317" t="s">
        <v>345</v>
      </c>
      <c r="B317" t="s">
        <v>15</v>
      </c>
      <c r="C317" s="1">
        <v>45249</v>
      </c>
      <c r="D317" s="1">
        <v>45263</v>
      </c>
      <c r="E317" t="s">
        <v>29</v>
      </c>
      <c r="F317">
        <v>14</v>
      </c>
      <c r="G317" t="s">
        <v>21</v>
      </c>
      <c r="H317">
        <v>1725</v>
      </c>
      <c r="I317">
        <v>93.14</v>
      </c>
      <c r="J317">
        <v>79.62</v>
      </c>
      <c r="K317">
        <v>160666.5</v>
      </c>
      <c r="L317">
        <v>137344.5</v>
      </c>
      <c r="M317">
        <v>0.145157826927206</v>
      </c>
      <c r="N317">
        <v>24</v>
      </c>
      <c r="O317" t="s">
        <v>18</v>
      </c>
      <c r="P317">
        <v>1.39130434782609E-2</v>
      </c>
      <c r="Q317">
        <v>23322</v>
      </c>
    </row>
    <row r="318" spans="1:17" x14ac:dyDescent="0.3">
      <c r="A318" t="s">
        <v>346</v>
      </c>
      <c r="B318" t="s">
        <v>26</v>
      </c>
      <c r="C318" s="1">
        <v>45222</v>
      </c>
      <c r="D318" s="1">
        <v>45237</v>
      </c>
      <c r="E318" t="s">
        <v>29</v>
      </c>
      <c r="F318">
        <v>15</v>
      </c>
      <c r="G318" t="s">
        <v>17</v>
      </c>
      <c r="H318">
        <v>502</v>
      </c>
      <c r="I318">
        <v>22.05</v>
      </c>
      <c r="J318">
        <v>20.65</v>
      </c>
      <c r="K318">
        <v>11069.1</v>
      </c>
      <c r="L318">
        <v>10366.299999999999</v>
      </c>
      <c r="M318">
        <v>6.34920634920636E-2</v>
      </c>
      <c r="N318">
        <v>50</v>
      </c>
      <c r="O318" t="s">
        <v>30</v>
      </c>
      <c r="P318">
        <v>9.9601593625498003E-2</v>
      </c>
      <c r="Q318">
        <v>702.8</v>
      </c>
    </row>
    <row r="319" spans="1:17" x14ac:dyDescent="0.3">
      <c r="A319" t="s">
        <v>347</v>
      </c>
      <c r="B319" t="s">
        <v>23</v>
      </c>
      <c r="C319" s="1">
        <v>44869</v>
      </c>
      <c r="D319" s="1">
        <v>44876</v>
      </c>
      <c r="E319" t="s">
        <v>27</v>
      </c>
      <c r="F319">
        <v>7</v>
      </c>
      <c r="G319" t="s">
        <v>21</v>
      </c>
      <c r="H319">
        <v>1110</v>
      </c>
      <c r="I319">
        <v>90.49</v>
      </c>
      <c r="J319">
        <v>80.03</v>
      </c>
      <c r="K319">
        <v>100443.9</v>
      </c>
      <c r="L319">
        <v>88833.3</v>
      </c>
      <c r="M319">
        <v>0.11559288319151299</v>
      </c>
      <c r="N319">
        <v>61</v>
      </c>
      <c r="O319" t="s">
        <v>18</v>
      </c>
      <c r="P319">
        <v>5.4954954954954997E-2</v>
      </c>
      <c r="Q319">
        <v>11610.6</v>
      </c>
    </row>
    <row r="320" spans="1:17" x14ac:dyDescent="0.3">
      <c r="A320" t="s">
        <v>348</v>
      </c>
      <c r="B320" t="s">
        <v>15</v>
      </c>
      <c r="C320" s="1">
        <v>45030</v>
      </c>
      <c r="D320" s="1">
        <v>45034</v>
      </c>
      <c r="E320" t="s">
        <v>27</v>
      </c>
      <c r="F320">
        <v>4</v>
      </c>
      <c r="G320" t="s">
        <v>21</v>
      </c>
      <c r="H320">
        <v>1233</v>
      </c>
      <c r="I320">
        <v>23.08</v>
      </c>
      <c r="J320">
        <v>20.57</v>
      </c>
      <c r="K320">
        <v>28457.64</v>
      </c>
      <c r="L320">
        <v>25362.81</v>
      </c>
      <c r="M320">
        <v>0.108752166377816</v>
      </c>
      <c r="N320">
        <v>0</v>
      </c>
      <c r="O320" t="s">
        <v>18</v>
      </c>
      <c r="P320">
        <v>0</v>
      </c>
      <c r="Q320">
        <v>3094.83</v>
      </c>
    </row>
    <row r="321" spans="1:17" x14ac:dyDescent="0.3">
      <c r="A321" t="s">
        <v>349</v>
      </c>
      <c r="B321" t="s">
        <v>26</v>
      </c>
      <c r="C321" s="1">
        <v>44885</v>
      </c>
      <c r="D321" s="1">
        <v>44889</v>
      </c>
      <c r="E321" t="s">
        <v>16</v>
      </c>
      <c r="F321">
        <v>4</v>
      </c>
      <c r="G321" t="s">
        <v>21</v>
      </c>
      <c r="H321">
        <v>1064</v>
      </c>
      <c r="I321">
        <v>48.04</v>
      </c>
      <c r="J321">
        <v>43.6</v>
      </c>
      <c r="K321">
        <v>51114.559999999998</v>
      </c>
      <c r="L321">
        <v>46390.400000000001</v>
      </c>
      <c r="M321">
        <v>9.2422980849292194E-2</v>
      </c>
      <c r="N321">
        <v>94</v>
      </c>
      <c r="O321" t="s">
        <v>18</v>
      </c>
      <c r="P321">
        <v>8.8345864661654103E-2</v>
      </c>
      <c r="Q321">
        <v>4724.16</v>
      </c>
    </row>
    <row r="322" spans="1:17" x14ac:dyDescent="0.3">
      <c r="A322" t="s">
        <v>350</v>
      </c>
      <c r="B322" t="s">
        <v>32</v>
      </c>
      <c r="C322" s="1">
        <v>44636</v>
      </c>
      <c r="D322" s="1">
        <v>44655</v>
      </c>
      <c r="E322" t="s">
        <v>27</v>
      </c>
      <c r="F322">
        <v>19</v>
      </c>
      <c r="G322" t="s">
        <v>36</v>
      </c>
      <c r="H322">
        <v>58</v>
      </c>
      <c r="I322">
        <v>82.57</v>
      </c>
      <c r="J322">
        <v>76.55</v>
      </c>
      <c r="K322">
        <v>4789.0600000000004</v>
      </c>
      <c r="L322">
        <v>4439.8999999999996</v>
      </c>
      <c r="M322">
        <v>7.2907835775705407E-2</v>
      </c>
      <c r="N322">
        <v>0</v>
      </c>
      <c r="O322" t="s">
        <v>18</v>
      </c>
      <c r="P322">
        <v>0</v>
      </c>
      <c r="Q322">
        <v>349.16</v>
      </c>
    </row>
    <row r="323" spans="1:17" x14ac:dyDescent="0.3">
      <c r="A323" t="s">
        <v>351</v>
      </c>
      <c r="B323" t="s">
        <v>26</v>
      </c>
      <c r="C323" s="1">
        <v>44571</v>
      </c>
      <c r="D323" s="1">
        <v>44581</v>
      </c>
      <c r="E323" t="s">
        <v>24</v>
      </c>
      <c r="F323">
        <v>10</v>
      </c>
      <c r="G323" t="s">
        <v>21</v>
      </c>
      <c r="H323">
        <v>1306</v>
      </c>
      <c r="I323">
        <v>23.49</v>
      </c>
      <c r="J323">
        <v>20.170000000000002</v>
      </c>
      <c r="K323">
        <v>30677.94</v>
      </c>
      <c r="L323">
        <v>26342.02</v>
      </c>
      <c r="M323">
        <v>0.14133673903788799</v>
      </c>
      <c r="N323">
        <v>116</v>
      </c>
      <c r="O323" t="s">
        <v>30</v>
      </c>
      <c r="P323">
        <v>8.8820826952526799E-2</v>
      </c>
      <c r="Q323">
        <v>4335.92</v>
      </c>
    </row>
    <row r="324" spans="1:17" x14ac:dyDescent="0.3">
      <c r="A324" t="s">
        <v>352</v>
      </c>
      <c r="B324" t="s">
        <v>20</v>
      </c>
      <c r="C324" s="1">
        <v>45031</v>
      </c>
      <c r="D324" s="1">
        <v>45044</v>
      </c>
      <c r="E324" t="s">
        <v>42</v>
      </c>
      <c r="F324">
        <v>13</v>
      </c>
      <c r="G324" t="s">
        <v>21</v>
      </c>
      <c r="H324">
        <v>1172</v>
      </c>
      <c r="I324">
        <v>32.93</v>
      </c>
      <c r="J324">
        <v>29.28</v>
      </c>
      <c r="K324">
        <v>38593.96</v>
      </c>
      <c r="L324">
        <v>34316.160000000003</v>
      </c>
      <c r="M324">
        <v>0.11084117825690799</v>
      </c>
      <c r="N324">
        <v>0</v>
      </c>
      <c r="O324" t="s">
        <v>30</v>
      </c>
      <c r="P324">
        <v>0</v>
      </c>
      <c r="Q324">
        <v>4277.8</v>
      </c>
    </row>
    <row r="325" spans="1:17" x14ac:dyDescent="0.3">
      <c r="A325" t="s">
        <v>353</v>
      </c>
      <c r="B325" t="s">
        <v>23</v>
      </c>
      <c r="C325" s="1">
        <v>45138</v>
      </c>
      <c r="D325" s="1">
        <v>45145</v>
      </c>
      <c r="E325" t="s">
        <v>29</v>
      </c>
      <c r="F325">
        <v>7</v>
      </c>
      <c r="G325" t="s">
        <v>21</v>
      </c>
      <c r="H325">
        <v>865</v>
      </c>
      <c r="I325">
        <v>81.540000000000006</v>
      </c>
      <c r="J325">
        <v>71.59</v>
      </c>
      <c r="K325">
        <v>70532.100000000006</v>
      </c>
      <c r="L325">
        <v>61925.35</v>
      </c>
      <c r="M325">
        <v>0.122025999509443</v>
      </c>
      <c r="N325">
        <v>39</v>
      </c>
      <c r="O325" t="s">
        <v>18</v>
      </c>
      <c r="P325">
        <v>4.5086705202312102E-2</v>
      </c>
      <c r="Q325">
        <v>8606.75</v>
      </c>
    </row>
    <row r="326" spans="1:17" x14ac:dyDescent="0.3">
      <c r="A326" t="s">
        <v>354</v>
      </c>
      <c r="B326" t="s">
        <v>26</v>
      </c>
      <c r="C326" s="1">
        <v>44664</v>
      </c>
      <c r="D326" s="1">
        <v>44671</v>
      </c>
      <c r="E326" t="s">
        <v>29</v>
      </c>
      <c r="F326">
        <v>7</v>
      </c>
      <c r="G326" t="s">
        <v>21</v>
      </c>
      <c r="H326">
        <v>257</v>
      </c>
      <c r="I326">
        <v>68.72</v>
      </c>
      <c r="J326">
        <v>66.92</v>
      </c>
      <c r="K326">
        <v>17661.04</v>
      </c>
      <c r="L326">
        <v>17198.439999999999</v>
      </c>
      <c r="M326">
        <v>2.6193247962747499E-2</v>
      </c>
      <c r="N326">
        <v>22</v>
      </c>
      <c r="O326" t="s">
        <v>18</v>
      </c>
      <c r="P326">
        <v>8.56031128404669E-2</v>
      </c>
      <c r="Q326">
        <v>462.6</v>
      </c>
    </row>
    <row r="327" spans="1:17" x14ac:dyDescent="0.3">
      <c r="A327" t="s">
        <v>355</v>
      </c>
      <c r="B327" t="s">
        <v>32</v>
      </c>
      <c r="C327" s="1">
        <v>44637</v>
      </c>
      <c r="D327" s="1">
        <v>44646</v>
      </c>
      <c r="E327" t="s">
        <v>27</v>
      </c>
      <c r="F327">
        <v>9</v>
      </c>
      <c r="G327" t="s">
        <v>21</v>
      </c>
      <c r="H327">
        <v>1204</v>
      </c>
      <c r="I327">
        <v>73.180000000000007</v>
      </c>
      <c r="J327">
        <v>67.59</v>
      </c>
      <c r="K327">
        <v>88108.72</v>
      </c>
      <c r="L327">
        <v>81378.36</v>
      </c>
      <c r="M327">
        <v>7.6386990981142405E-2</v>
      </c>
      <c r="N327">
        <v>31</v>
      </c>
      <c r="O327" t="s">
        <v>18</v>
      </c>
      <c r="P327">
        <v>2.5747508305647801E-2</v>
      </c>
      <c r="Q327">
        <v>6730.36</v>
      </c>
    </row>
    <row r="328" spans="1:17" x14ac:dyDescent="0.3">
      <c r="A328" t="s">
        <v>356</v>
      </c>
      <c r="B328" t="s">
        <v>26</v>
      </c>
      <c r="C328" s="1">
        <v>45112</v>
      </c>
      <c r="D328" s="1">
        <v>45116</v>
      </c>
      <c r="E328" t="s">
        <v>42</v>
      </c>
      <c r="F328">
        <v>4</v>
      </c>
      <c r="G328" t="s">
        <v>36</v>
      </c>
      <c r="H328">
        <v>453</v>
      </c>
      <c r="I328">
        <v>64.14</v>
      </c>
      <c r="J328">
        <v>60.18</v>
      </c>
      <c r="K328">
        <v>29055.42</v>
      </c>
      <c r="L328">
        <v>27261.54</v>
      </c>
      <c r="M328">
        <v>6.17399438727783E-2</v>
      </c>
      <c r="N328">
        <v>51</v>
      </c>
      <c r="O328" t="s">
        <v>18</v>
      </c>
      <c r="P328">
        <v>0.112582781456954</v>
      </c>
      <c r="Q328">
        <v>1793.88</v>
      </c>
    </row>
    <row r="329" spans="1:17" x14ac:dyDescent="0.3">
      <c r="A329" t="s">
        <v>357</v>
      </c>
      <c r="B329" t="s">
        <v>32</v>
      </c>
      <c r="C329" s="1">
        <v>44780</v>
      </c>
      <c r="D329" s="1">
        <v>44794</v>
      </c>
      <c r="E329" t="s">
        <v>42</v>
      </c>
      <c r="F329">
        <v>14</v>
      </c>
      <c r="G329" t="s">
        <v>21</v>
      </c>
      <c r="H329">
        <v>201</v>
      </c>
      <c r="I329">
        <v>33.81</v>
      </c>
      <c r="J329">
        <v>32.54</v>
      </c>
      <c r="K329">
        <v>6795.81</v>
      </c>
      <c r="L329">
        <v>6540.54</v>
      </c>
      <c r="M329">
        <v>3.7562851227447597E-2</v>
      </c>
      <c r="N329">
        <v>3</v>
      </c>
      <c r="O329" t="s">
        <v>18</v>
      </c>
      <c r="P329">
        <v>1.49253731343284E-2</v>
      </c>
      <c r="Q329">
        <v>255.27</v>
      </c>
    </row>
    <row r="330" spans="1:17" x14ac:dyDescent="0.3">
      <c r="A330" t="s">
        <v>358</v>
      </c>
      <c r="B330" t="s">
        <v>20</v>
      </c>
      <c r="C330" s="1">
        <v>45080</v>
      </c>
      <c r="D330" s="1">
        <v>45093</v>
      </c>
      <c r="E330" t="s">
        <v>16</v>
      </c>
      <c r="F330">
        <v>13</v>
      </c>
      <c r="G330" t="s">
        <v>21</v>
      </c>
      <c r="H330">
        <v>103</v>
      </c>
      <c r="I330">
        <v>44.61</v>
      </c>
      <c r="J330">
        <v>42.88</v>
      </c>
      <c r="K330">
        <v>4594.83</v>
      </c>
      <c r="L330">
        <v>4416.6400000000003</v>
      </c>
      <c r="M330">
        <v>3.8780542479264601E-2</v>
      </c>
      <c r="N330">
        <v>10</v>
      </c>
      <c r="O330" t="s">
        <v>18</v>
      </c>
      <c r="P330">
        <v>9.7087378640776698E-2</v>
      </c>
      <c r="Q330">
        <v>178.19</v>
      </c>
    </row>
    <row r="331" spans="1:17" x14ac:dyDescent="0.3">
      <c r="A331" t="s">
        <v>359</v>
      </c>
      <c r="B331" t="s">
        <v>32</v>
      </c>
      <c r="C331" s="1">
        <v>44833</v>
      </c>
      <c r="D331" s="1">
        <v>44841</v>
      </c>
      <c r="E331" t="s">
        <v>16</v>
      </c>
      <c r="F331">
        <v>8</v>
      </c>
      <c r="G331" t="s">
        <v>21</v>
      </c>
      <c r="H331">
        <v>1193</v>
      </c>
      <c r="I331">
        <v>27.4</v>
      </c>
      <c r="J331">
        <v>27.09</v>
      </c>
      <c r="K331">
        <v>32688.2</v>
      </c>
      <c r="L331">
        <v>32318.37</v>
      </c>
      <c r="M331">
        <v>1.13138686131386E-2</v>
      </c>
      <c r="N331">
        <v>0</v>
      </c>
      <c r="O331" t="s">
        <v>18</v>
      </c>
      <c r="P331">
        <v>0</v>
      </c>
      <c r="Q331">
        <v>369.83</v>
      </c>
    </row>
    <row r="332" spans="1:17" x14ac:dyDescent="0.3">
      <c r="A332" t="s">
        <v>360</v>
      </c>
      <c r="B332" t="s">
        <v>23</v>
      </c>
      <c r="C332" s="1">
        <v>44697</v>
      </c>
      <c r="D332" s="1">
        <v>44709</v>
      </c>
      <c r="E332" t="s">
        <v>16</v>
      </c>
      <c r="F332">
        <v>12</v>
      </c>
      <c r="G332" t="s">
        <v>36</v>
      </c>
      <c r="H332">
        <v>1746</v>
      </c>
      <c r="I332">
        <v>93.6</v>
      </c>
      <c r="J332">
        <v>89.81</v>
      </c>
      <c r="K332">
        <v>163425.60000000001</v>
      </c>
      <c r="L332">
        <v>156808.26</v>
      </c>
      <c r="M332">
        <v>4.0491452991452799E-2</v>
      </c>
      <c r="N332">
        <v>85</v>
      </c>
      <c r="O332" t="s">
        <v>18</v>
      </c>
      <c r="P332">
        <v>4.8682703321878601E-2</v>
      </c>
      <c r="Q332">
        <v>6617.34</v>
      </c>
    </row>
    <row r="333" spans="1:17" x14ac:dyDescent="0.3">
      <c r="A333" t="s">
        <v>361</v>
      </c>
      <c r="B333" t="s">
        <v>20</v>
      </c>
      <c r="C333" s="1">
        <v>44919</v>
      </c>
      <c r="D333" s="1">
        <v>44921</v>
      </c>
      <c r="E333" t="s">
        <v>42</v>
      </c>
      <c r="F333">
        <v>2</v>
      </c>
      <c r="G333" t="s">
        <v>21</v>
      </c>
      <c r="H333">
        <v>1993</v>
      </c>
      <c r="I333">
        <v>65.94</v>
      </c>
      <c r="J333">
        <v>59.36</v>
      </c>
      <c r="K333">
        <v>131418.42000000001</v>
      </c>
      <c r="L333">
        <v>118304.48</v>
      </c>
      <c r="M333">
        <v>9.9787685774946802E-2</v>
      </c>
      <c r="N333">
        <v>0</v>
      </c>
      <c r="O333" t="s">
        <v>18</v>
      </c>
      <c r="P333">
        <v>0</v>
      </c>
      <c r="Q333">
        <v>13113.94</v>
      </c>
    </row>
    <row r="334" spans="1:17" x14ac:dyDescent="0.3">
      <c r="A334" t="s">
        <v>362</v>
      </c>
      <c r="B334" t="s">
        <v>26</v>
      </c>
      <c r="C334" s="1">
        <v>44632</v>
      </c>
      <c r="D334" s="1">
        <v>44647</v>
      </c>
      <c r="E334" t="s">
        <v>29</v>
      </c>
      <c r="F334">
        <v>15</v>
      </c>
      <c r="G334" t="s">
        <v>21</v>
      </c>
      <c r="H334">
        <v>677</v>
      </c>
      <c r="I334">
        <v>46.54</v>
      </c>
      <c r="J334">
        <v>43.11</v>
      </c>
      <c r="K334">
        <v>31507.58</v>
      </c>
      <c r="L334">
        <v>29185.47</v>
      </c>
      <c r="M334">
        <v>7.3700042973785906E-2</v>
      </c>
      <c r="N334">
        <v>0</v>
      </c>
      <c r="O334" t="s">
        <v>30</v>
      </c>
      <c r="P334">
        <v>0</v>
      </c>
      <c r="Q334">
        <v>2322.11</v>
      </c>
    </row>
    <row r="335" spans="1:17" x14ac:dyDescent="0.3">
      <c r="A335" t="s">
        <v>363</v>
      </c>
      <c r="B335" t="s">
        <v>32</v>
      </c>
      <c r="C335" s="1">
        <v>44940</v>
      </c>
      <c r="D335" s="1">
        <v>44959</v>
      </c>
      <c r="E335" t="s">
        <v>27</v>
      </c>
      <c r="F335">
        <v>19</v>
      </c>
      <c r="G335" t="s">
        <v>21</v>
      </c>
      <c r="H335">
        <v>1698</v>
      </c>
      <c r="I335">
        <v>100.97</v>
      </c>
      <c r="J335">
        <v>98.73</v>
      </c>
      <c r="K335">
        <v>171447.06</v>
      </c>
      <c r="L335">
        <v>167643.54</v>
      </c>
      <c r="M335">
        <v>2.2184807368525201E-2</v>
      </c>
      <c r="N335">
        <v>52</v>
      </c>
      <c r="O335" t="s">
        <v>18</v>
      </c>
      <c r="P335">
        <v>3.06242638398115E-2</v>
      </c>
      <c r="Q335">
        <v>3803.52</v>
      </c>
    </row>
    <row r="336" spans="1:17" x14ac:dyDescent="0.3">
      <c r="A336" t="s">
        <v>364</v>
      </c>
      <c r="B336" t="s">
        <v>23</v>
      </c>
      <c r="C336" s="1">
        <v>44853</v>
      </c>
      <c r="D336" s="1">
        <v>44866</v>
      </c>
      <c r="E336" t="s">
        <v>16</v>
      </c>
      <c r="F336">
        <v>13</v>
      </c>
      <c r="G336" t="s">
        <v>21</v>
      </c>
      <c r="H336">
        <v>1493</v>
      </c>
      <c r="I336">
        <v>24.87</v>
      </c>
      <c r="J336">
        <v>22.89</v>
      </c>
      <c r="K336">
        <v>37130.910000000003</v>
      </c>
      <c r="L336">
        <v>34174.769999999997</v>
      </c>
      <c r="M336">
        <v>7.9613992762364305E-2</v>
      </c>
      <c r="N336">
        <v>56</v>
      </c>
      <c r="O336" t="s">
        <v>18</v>
      </c>
      <c r="P336">
        <v>3.7508372404554603E-2</v>
      </c>
      <c r="Q336">
        <v>2956.14</v>
      </c>
    </row>
    <row r="337" spans="1:17" x14ac:dyDescent="0.3">
      <c r="A337" t="s">
        <v>365</v>
      </c>
      <c r="B337" t="s">
        <v>15</v>
      </c>
      <c r="C337" s="1">
        <v>44723</v>
      </c>
      <c r="D337" s="1">
        <v>44737</v>
      </c>
      <c r="E337" t="s">
        <v>27</v>
      </c>
      <c r="F337">
        <v>14</v>
      </c>
      <c r="G337" t="s">
        <v>21</v>
      </c>
      <c r="H337">
        <v>1495</v>
      </c>
      <c r="I337">
        <v>64.33</v>
      </c>
      <c r="J337">
        <v>58.18</v>
      </c>
      <c r="K337">
        <v>96173.35</v>
      </c>
      <c r="L337">
        <v>86979.1</v>
      </c>
      <c r="M337">
        <v>9.5600808332037795E-2</v>
      </c>
      <c r="N337">
        <v>26</v>
      </c>
      <c r="O337" t="s">
        <v>18</v>
      </c>
      <c r="P337">
        <v>1.7391304347826101E-2</v>
      </c>
      <c r="Q337">
        <v>9194.25</v>
      </c>
    </row>
    <row r="338" spans="1:17" x14ac:dyDescent="0.3">
      <c r="A338" t="s">
        <v>366</v>
      </c>
      <c r="B338" t="s">
        <v>15</v>
      </c>
      <c r="C338" s="1">
        <v>45010</v>
      </c>
      <c r="D338" s="1">
        <v>45023</v>
      </c>
      <c r="E338" t="s">
        <v>27</v>
      </c>
      <c r="F338">
        <v>13</v>
      </c>
      <c r="G338" t="s">
        <v>17</v>
      </c>
      <c r="H338">
        <v>153</v>
      </c>
      <c r="I338">
        <v>59.42</v>
      </c>
      <c r="J338">
        <v>52</v>
      </c>
      <c r="K338">
        <v>9091.26</v>
      </c>
      <c r="L338">
        <v>7956</v>
      </c>
      <c r="M338">
        <v>0.124873779872097</v>
      </c>
      <c r="N338">
        <v>3</v>
      </c>
      <c r="O338" t="s">
        <v>18</v>
      </c>
      <c r="P338">
        <v>1.9607843137254902E-2</v>
      </c>
      <c r="Q338">
        <v>1135.26</v>
      </c>
    </row>
    <row r="339" spans="1:17" x14ac:dyDescent="0.3">
      <c r="A339" t="s">
        <v>367</v>
      </c>
      <c r="B339" t="s">
        <v>20</v>
      </c>
      <c r="C339" s="1">
        <v>45118</v>
      </c>
      <c r="D339" s="1">
        <v>45129</v>
      </c>
      <c r="E339" t="s">
        <v>29</v>
      </c>
      <c r="F339">
        <v>11</v>
      </c>
      <c r="G339" t="s">
        <v>17</v>
      </c>
      <c r="H339">
        <v>1925</v>
      </c>
      <c r="I339">
        <v>70.88</v>
      </c>
      <c r="J339">
        <v>63.41</v>
      </c>
      <c r="K339">
        <v>136444</v>
      </c>
      <c r="L339">
        <v>122064.25</v>
      </c>
      <c r="M339">
        <v>0.105389390519187</v>
      </c>
      <c r="N339">
        <v>292</v>
      </c>
      <c r="O339" t="s">
        <v>18</v>
      </c>
      <c r="P339">
        <v>0.15168831168831201</v>
      </c>
      <c r="Q339">
        <v>14379.75</v>
      </c>
    </row>
    <row r="340" spans="1:17" x14ac:dyDescent="0.3">
      <c r="A340" t="s">
        <v>368</v>
      </c>
      <c r="B340" t="s">
        <v>26</v>
      </c>
      <c r="C340" s="1">
        <v>45282</v>
      </c>
      <c r="D340" s="1">
        <v>45302</v>
      </c>
      <c r="E340" t="s">
        <v>27</v>
      </c>
      <c r="F340">
        <v>20</v>
      </c>
      <c r="G340" t="s">
        <v>21</v>
      </c>
      <c r="H340">
        <v>303</v>
      </c>
      <c r="I340">
        <v>12.97</v>
      </c>
      <c r="J340">
        <v>11.42</v>
      </c>
      <c r="K340">
        <v>3929.91</v>
      </c>
      <c r="L340">
        <v>3460.26</v>
      </c>
      <c r="M340">
        <v>0.119506553585197</v>
      </c>
      <c r="N340">
        <v>0</v>
      </c>
      <c r="O340" t="s">
        <v>30</v>
      </c>
      <c r="P340">
        <v>0</v>
      </c>
      <c r="Q340">
        <v>469.65</v>
      </c>
    </row>
    <row r="341" spans="1:17" x14ac:dyDescent="0.3">
      <c r="A341" t="s">
        <v>369</v>
      </c>
      <c r="B341" t="s">
        <v>15</v>
      </c>
      <c r="C341" s="1">
        <v>44871</v>
      </c>
      <c r="D341" s="1">
        <v>44883</v>
      </c>
      <c r="E341" t="s">
        <v>16</v>
      </c>
      <c r="F341">
        <v>12</v>
      </c>
      <c r="G341" t="s">
        <v>21</v>
      </c>
      <c r="H341">
        <v>1300</v>
      </c>
      <c r="I341">
        <v>92.92</v>
      </c>
      <c r="J341">
        <v>90.63</v>
      </c>
      <c r="K341">
        <v>120796</v>
      </c>
      <c r="L341">
        <v>117819</v>
      </c>
      <c r="M341">
        <v>2.4644855789926801E-2</v>
      </c>
      <c r="N341">
        <v>0</v>
      </c>
      <c r="O341" t="s">
        <v>18</v>
      </c>
      <c r="P341">
        <v>0</v>
      </c>
      <c r="Q341">
        <v>2977</v>
      </c>
    </row>
    <row r="342" spans="1:17" x14ac:dyDescent="0.3">
      <c r="A342" t="s">
        <v>370</v>
      </c>
      <c r="B342" t="s">
        <v>23</v>
      </c>
      <c r="C342" s="1">
        <v>45188</v>
      </c>
      <c r="D342" s="1">
        <v>45192</v>
      </c>
      <c r="E342" t="s">
        <v>29</v>
      </c>
      <c r="F342">
        <v>4</v>
      </c>
      <c r="G342" t="s">
        <v>21</v>
      </c>
      <c r="H342">
        <v>1185</v>
      </c>
      <c r="I342">
        <v>103.28</v>
      </c>
      <c r="J342">
        <v>99.05</v>
      </c>
      <c r="K342">
        <v>122386.8</v>
      </c>
      <c r="L342">
        <v>117374.25</v>
      </c>
      <c r="M342">
        <v>4.0956622773044203E-2</v>
      </c>
      <c r="N342">
        <v>0</v>
      </c>
      <c r="O342" t="s">
        <v>18</v>
      </c>
      <c r="P342">
        <v>0</v>
      </c>
      <c r="Q342">
        <v>5012.55</v>
      </c>
    </row>
    <row r="343" spans="1:17" x14ac:dyDescent="0.3">
      <c r="A343" t="s">
        <v>371</v>
      </c>
      <c r="B343" t="s">
        <v>32</v>
      </c>
      <c r="C343" s="1">
        <v>45231</v>
      </c>
      <c r="D343" s="1">
        <v>45250</v>
      </c>
      <c r="E343" t="s">
        <v>29</v>
      </c>
      <c r="F343">
        <v>19</v>
      </c>
      <c r="G343" t="s">
        <v>21</v>
      </c>
      <c r="H343">
        <v>559</v>
      </c>
      <c r="I343">
        <v>67.56</v>
      </c>
      <c r="J343">
        <v>57.98</v>
      </c>
      <c r="K343">
        <v>37766.04</v>
      </c>
      <c r="L343">
        <v>32410.82</v>
      </c>
      <c r="M343">
        <v>0.14179988158673801</v>
      </c>
      <c r="N343">
        <v>15</v>
      </c>
      <c r="O343" t="s">
        <v>18</v>
      </c>
      <c r="P343">
        <v>2.6833631484794299E-2</v>
      </c>
      <c r="Q343">
        <v>5355.22</v>
      </c>
    </row>
    <row r="344" spans="1:17" x14ac:dyDescent="0.3">
      <c r="A344" t="s">
        <v>372</v>
      </c>
      <c r="B344" t="s">
        <v>32</v>
      </c>
      <c r="C344" s="1">
        <v>45103</v>
      </c>
      <c r="D344" s="1">
        <v>45106</v>
      </c>
      <c r="E344" t="s">
        <v>42</v>
      </c>
      <c r="F344">
        <v>3</v>
      </c>
      <c r="G344" t="s">
        <v>38</v>
      </c>
      <c r="H344">
        <v>1546</v>
      </c>
      <c r="I344">
        <v>78.88</v>
      </c>
      <c r="J344">
        <v>78</v>
      </c>
      <c r="K344">
        <v>121948.48</v>
      </c>
      <c r="L344">
        <v>120588</v>
      </c>
      <c r="M344">
        <v>1.1156186612576001E-2</v>
      </c>
      <c r="N344">
        <v>38</v>
      </c>
      <c r="O344" t="s">
        <v>18</v>
      </c>
      <c r="P344">
        <v>2.4579560155239301E-2</v>
      </c>
      <c r="Q344">
        <v>1360.48</v>
      </c>
    </row>
    <row r="345" spans="1:17" x14ac:dyDescent="0.3">
      <c r="A345" t="s">
        <v>373</v>
      </c>
      <c r="B345" t="s">
        <v>32</v>
      </c>
      <c r="C345" s="1">
        <v>44570</v>
      </c>
      <c r="D345" s="1">
        <v>44580</v>
      </c>
      <c r="E345" t="s">
        <v>27</v>
      </c>
      <c r="F345">
        <v>10</v>
      </c>
      <c r="G345" t="s">
        <v>21</v>
      </c>
      <c r="H345">
        <v>148</v>
      </c>
      <c r="I345">
        <v>93.02</v>
      </c>
      <c r="J345">
        <v>85.96</v>
      </c>
      <c r="K345">
        <v>13766.96</v>
      </c>
      <c r="L345">
        <v>12722.08</v>
      </c>
      <c r="M345">
        <v>7.5897656417974593E-2</v>
      </c>
      <c r="N345">
        <v>4</v>
      </c>
      <c r="O345" t="s">
        <v>18</v>
      </c>
      <c r="P345">
        <v>2.7027027027027001E-2</v>
      </c>
      <c r="Q345">
        <v>1044.8800000000001</v>
      </c>
    </row>
    <row r="346" spans="1:17" x14ac:dyDescent="0.3">
      <c r="A346" t="s">
        <v>374</v>
      </c>
      <c r="B346" t="s">
        <v>20</v>
      </c>
      <c r="C346" s="1">
        <v>45245</v>
      </c>
      <c r="D346" s="1">
        <v>45253</v>
      </c>
      <c r="E346" t="s">
        <v>16</v>
      </c>
      <c r="F346">
        <v>8</v>
      </c>
      <c r="G346" t="s">
        <v>21</v>
      </c>
      <c r="H346">
        <v>202</v>
      </c>
      <c r="I346">
        <v>81.75</v>
      </c>
      <c r="J346">
        <v>78.260000000000005</v>
      </c>
      <c r="K346">
        <v>16513.5</v>
      </c>
      <c r="L346">
        <v>15808.52</v>
      </c>
      <c r="M346">
        <v>4.2691131498470897E-2</v>
      </c>
      <c r="N346">
        <v>37</v>
      </c>
      <c r="O346" t="s">
        <v>30</v>
      </c>
      <c r="P346">
        <v>0.183168316831683</v>
      </c>
      <c r="Q346">
        <v>704.98</v>
      </c>
    </row>
    <row r="347" spans="1:17" x14ac:dyDescent="0.3">
      <c r="A347" t="s">
        <v>375</v>
      </c>
      <c r="B347" t="s">
        <v>23</v>
      </c>
      <c r="C347" s="1">
        <v>45129</v>
      </c>
      <c r="D347" s="1">
        <v>45135</v>
      </c>
      <c r="E347" t="s">
        <v>27</v>
      </c>
      <c r="F347">
        <v>6</v>
      </c>
      <c r="G347" t="s">
        <v>21</v>
      </c>
      <c r="H347">
        <v>1934</v>
      </c>
      <c r="I347">
        <v>25.86</v>
      </c>
      <c r="J347">
        <v>25.6</v>
      </c>
      <c r="K347">
        <v>50013.24</v>
      </c>
      <c r="L347">
        <v>49510.400000000001</v>
      </c>
      <c r="M347">
        <v>1.00541376643464E-2</v>
      </c>
      <c r="N347">
        <v>78</v>
      </c>
      <c r="O347" t="s">
        <v>18</v>
      </c>
      <c r="P347">
        <v>4.0330920372285403E-2</v>
      </c>
      <c r="Q347">
        <v>502.84</v>
      </c>
    </row>
    <row r="348" spans="1:17" x14ac:dyDescent="0.3">
      <c r="A348" t="s">
        <v>376</v>
      </c>
      <c r="B348" t="s">
        <v>15</v>
      </c>
      <c r="C348" s="1">
        <v>44868</v>
      </c>
      <c r="D348" s="1">
        <v>44872</v>
      </c>
      <c r="E348" t="s">
        <v>16</v>
      </c>
      <c r="F348">
        <v>4</v>
      </c>
      <c r="G348" t="s">
        <v>21</v>
      </c>
      <c r="H348">
        <v>963</v>
      </c>
      <c r="I348">
        <v>64.959999999999994</v>
      </c>
      <c r="J348">
        <v>64.069999999999993</v>
      </c>
      <c r="K348">
        <v>62556.480000000003</v>
      </c>
      <c r="L348">
        <v>61699.41</v>
      </c>
      <c r="M348">
        <v>1.37007389162562E-2</v>
      </c>
      <c r="N348">
        <v>20</v>
      </c>
      <c r="O348" t="s">
        <v>18</v>
      </c>
      <c r="P348">
        <v>2.0768431983385301E-2</v>
      </c>
      <c r="Q348">
        <v>857.07</v>
      </c>
    </row>
    <row r="349" spans="1:17" x14ac:dyDescent="0.3">
      <c r="A349" t="s">
        <v>377</v>
      </c>
      <c r="B349" t="s">
        <v>23</v>
      </c>
      <c r="C349" s="1">
        <v>45241</v>
      </c>
      <c r="D349" s="1">
        <v>45248</v>
      </c>
      <c r="E349" t="s">
        <v>24</v>
      </c>
      <c r="F349">
        <v>7</v>
      </c>
      <c r="G349" t="s">
        <v>21</v>
      </c>
      <c r="H349">
        <v>1969</v>
      </c>
      <c r="I349">
        <v>71.709999999999994</v>
      </c>
      <c r="J349">
        <v>61.96</v>
      </c>
      <c r="K349">
        <v>141196.99</v>
      </c>
      <c r="L349">
        <v>121999.24</v>
      </c>
      <c r="M349">
        <v>0.13596430065541801</v>
      </c>
      <c r="N349">
        <v>0</v>
      </c>
      <c r="O349" t="s">
        <v>18</v>
      </c>
      <c r="P349">
        <v>0</v>
      </c>
      <c r="Q349">
        <v>19197.75</v>
      </c>
    </row>
    <row r="350" spans="1:17" x14ac:dyDescent="0.3">
      <c r="A350" t="s">
        <v>378</v>
      </c>
      <c r="B350" t="s">
        <v>20</v>
      </c>
      <c r="C350" s="1">
        <v>44699</v>
      </c>
      <c r="D350" s="1">
        <v>44704</v>
      </c>
      <c r="E350" t="s">
        <v>29</v>
      </c>
      <c r="F350">
        <v>5</v>
      </c>
      <c r="G350" t="s">
        <v>17</v>
      </c>
      <c r="H350">
        <v>387</v>
      </c>
      <c r="I350">
        <v>77.81</v>
      </c>
      <c r="J350">
        <v>69.040000000000006</v>
      </c>
      <c r="K350">
        <v>30112.47</v>
      </c>
      <c r="L350">
        <v>26718.48</v>
      </c>
      <c r="M350">
        <v>0.112710448528467</v>
      </c>
      <c r="N350">
        <v>67</v>
      </c>
      <c r="O350" t="s">
        <v>18</v>
      </c>
      <c r="P350">
        <v>0.17312661498708001</v>
      </c>
      <c r="Q350">
        <v>3393.99</v>
      </c>
    </row>
    <row r="351" spans="1:17" x14ac:dyDescent="0.3">
      <c r="A351" t="s">
        <v>379</v>
      </c>
      <c r="B351" t="s">
        <v>26</v>
      </c>
      <c r="C351" s="1">
        <v>44832</v>
      </c>
      <c r="D351" s="1">
        <v>44837</v>
      </c>
      <c r="E351" t="s">
        <v>42</v>
      </c>
      <c r="F351">
        <v>5</v>
      </c>
      <c r="G351" t="s">
        <v>21</v>
      </c>
      <c r="H351">
        <v>1779</v>
      </c>
      <c r="I351">
        <v>97.86</v>
      </c>
      <c r="J351">
        <v>94.36</v>
      </c>
      <c r="K351">
        <v>174092.94</v>
      </c>
      <c r="L351">
        <v>167866.44</v>
      </c>
      <c r="M351">
        <v>3.5765379113018601E-2</v>
      </c>
      <c r="N351">
        <v>176</v>
      </c>
      <c r="O351" t="s">
        <v>18</v>
      </c>
      <c r="P351">
        <v>9.8931984260820699E-2</v>
      </c>
      <c r="Q351">
        <v>6226.5</v>
      </c>
    </row>
    <row r="352" spans="1:17" x14ac:dyDescent="0.3">
      <c r="A352" t="s">
        <v>380</v>
      </c>
      <c r="B352" t="s">
        <v>23</v>
      </c>
      <c r="C352" s="1">
        <v>44680</v>
      </c>
      <c r="D352" s="1">
        <v>44686</v>
      </c>
      <c r="E352" t="s">
        <v>24</v>
      </c>
      <c r="F352">
        <v>6</v>
      </c>
      <c r="G352" t="s">
        <v>38</v>
      </c>
      <c r="H352">
        <v>871</v>
      </c>
      <c r="I352">
        <v>94.7</v>
      </c>
      <c r="J352">
        <v>92.66</v>
      </c>
      <c r="K352">
        <v>82483.7</v>
      </c>
      <c r="L352">
        <v>80706.86</v>
      </c>
      <c r="M352">
        <v>2.1541710665258701E-2</v>
      </c>
      <c r="N352">
        <v>46</v>
      </c>
      <c r="O352" t="s">
        <v>18</v>
      </c>
      <c r="P352">
        <v>5.2812858783008003E-2</v>
      </c>
      <c r="Q352">
        <v>1776.84</v>
      </c>
    </row>
    <row r="353" spans="1:17" x14ac:dyDescent="0.3">
      <c r="A353" t="s">
        <v>381</v>
      </c>
      <c r="B353" t="s">
        <v>32</v>
      </c>
      <c r="C353" s="1">
        <v>44671</v>
      </c>
      <c r="D353" s="1">
        <v>44674</v>
      </c>
      <c r="E353" t="s">
        <v>42</v>
      </c>
      <c r="F353">
        <v>3</v>
      </c>
      <c r="G353" t="s">
        <v>21</v>
      </c>
      <c r="H353">
        <v>1236</v>
      </c>
      <c r="I353">
        <v>51.33</v>
      </c>
      <c r="J353">
        <v>44.03</v>
      </c>
      <c r="K353">
        <v>63443.88</v>
      </c>
      <c r="L353">
        <v>54421.08</v>
      </c>
      <c r="M353">
        <v>0.14221702707968001</v>
      </c>
      <c r="N353">
        <v>25</v>
      </c>
      <c r="O353" t="s">
        <v>18</v>
      </c>
      <c r="P353">
        <v>2.0226537216828499E-2</v>
      </c>
      <c r="Q353">
        <v>9022.7999999999993</v>
      </c>
    </row>
    <row r="354" spans="1:17" x14ac:dyDescent="0.3">
      <c r="A354" t="s">
        <v>382</v>
      </c>
      <c r="B354" t="s">
        <v>20</v>
      </c>
      <c r="C354" s="1">
        <v>45128</v>
      </c>
      <c r="D354" s="1">
        <v>45144</v>
      </c>
      <c r="E354" t="s">
        <v>42</v>
      </c>
      <c r="F354">
        <v>16</v>
      </c>
      <c r="G354" t="s">
        <v>21</v>
      </c>
      <c r="H354">
        <v>1793</v>
      </c>
      <c r="I354">
        <v>22.01</v>
      </c>
      <c r="J354">
        <v>21.78</v>
      </c>
      <c r="K354">
        <v>39463.93</v>
      </c>
      <c r="L354">
        <v>39051.54</v>
      </c>
      <c r="M354">
        <v>1.0449795547478401E-2</v>
      </c>
      <c r="N354">
        <v>285</v>
      </c>
      <c r="O354" t="s">
        <v>18</v>
      </c>
      <c r="P354">
        <v>0.15895147796988299</v>
      </c>
      <c r="Q354">
        <v>412.39</v>
      </c>
    </row>
    <row r="355" spans="1:17" x14ac:dyDescent="0.3">
      <c r="A355" t="s">
        <v>383</v>
      </c>
      <c r="B355" t="s">
        <v>20</v>
      </c>
      <c r="C355" s="1">
        <v>44721</v>
      </c>
      <c r="D355" s="1">
        <v>44740</v>
      </c>
      <c r="E355" t="s">
        <v>24</v>
      </c>
      <c r="F355">
        <v>19</v>
      </c>
      <c r="G355" t="s">
        <v>21</v>
      </c>
      <c r="H355">
        <v>1006</v>
      </c>
      <c r="I355">
        <v>101.1</v>
      </c>
      <c r="J355">
        <v>89.04</v>
      </c>
      <c r="K355">
        <v>101706.6</v>
      </c>
      <c r="L355">
        <v>89574.24</v>
      </c>
      <c r="M355">
        <v>0.119287833827893</v>
      </c>
      <c r="N355">
        <v>139</v>
      </c>
      <c r="O355" t="s">
        <v>18</v>
      </c>
      <c r="P355">
        <v>0.13817097415506999</v>
      </c>
      <c r="Q355">
        <v>12132.36</v>
      </c>
    </row>
    <row r="356" spans="1:17" x14ac:dyDescent="0.3">
      <c r="A356" t="s">
        <v>384</v>
      </c>
      <c r="B356" t="s">
        <v>26</v>
      </c>
      <c r="C356" s="1">
        <v>44840</v>
      </c>
      <c r="D356" s="1">
        <v>44855</v>
      </c>
      <c r="E356" t="s">
        <v>42</v>
      </c>
      <c r="F356">
        <v>15</v>
      </c>
      <c r="G356" t="s">
        <v>17</v>
      </c>
      <c r="H356">
        <v>1754</v>
      </c>
      <c r="I356">
        <v>89.35</v>
      </c>
      <c r="J356">
        <v>86.54</v>
      </c>
      <c r="K356">
        <v>156719.9</v>
      </c>
      <c r="L356">
        <v>151791.16</v>
      </c>
      <c r="M356">
        <v>3.1449356463346297E-2</v>
      </c>
      <c r="N356">
        <v>161</v>
      </c>
      <c r="O356" t="s">
        <v>30</v>
      </c>
      <c r="P356">
        <v>9.1790193842645404E-2</v>
      </c>
      <c r="Q356">
        <v>4928.74</v>
      </c>
    </row>
    <row r="357" spans="1:17" x14ac:dyDescent="0.3">
      <c r="A357" t="s">
        <v>385</v>
      </c>
      <c r="B357" t="s">
        <v>32</v>
      </c>
      <c r="C357" s="1">
        <v>44850</v>
      </c>
      <c r="D357" s="1">
        <v>44869</v>
      </c>
      <c r="E357" t="s">
        <v>42</v>
      </c>
      <c r="F357">
        <v>19</v>
      </c>
      <c r="G357" t="s">
        <v>21</v>
      </c>
      <c r="H357">
        <v>210</v>
      </c>
      <c r="I357">
        <v>22.17</v>
      </c>
      <c r="J357">
        <v>21.32</v>
      </c>
      <c r="K357">
        <v>4655.7</v>
      </c>
      <c r="L357">
        <v>4477.2</v>
      </c>
      <c r="M357">
        <v>3.8340099233198199E-2</v>
      </c>
      <c r="N357">
        <v>10</v>
      </c>
      <c r="O357" t="s">
        <v>18</v>
      </c>
      <c r="P357">
        <v>4.7619047619047603E-2</v>
      </c>
      <c r="Q357">
        <v>178.5</v>
      </c>
    </row>
    <row r="358" spans="1:17" x14ac:dyDescent="0.3">
      <c r="A358" t="s">
        <v>386</v>
      </c>
      <c r="B358" t="s">
        <v>20</v>
      </c>
      <c r="C358" s="1">
        <v>45181</v>
      </c>
      <c r="D358" s="1">
        <v>45201</v>
      </c>
      <c r="E358" t="s">
        <v>24</v>
      </c>
      <c r="F358">
        <v>20</v>
      </c>
      <c r="G358" t="s">
        <v>21</v>
      </c>
      <c r="H358">
        <v>1653</v>
      </c>
      <c r="I358">
        <v>102.16</v>
      </c>
      <c r="J358">
        <v>91.91</v>
      </c>
      <c r="K358">
        <v>168870.48</v>
      </c>
      <c r="L358">
        <v>151927.23000000001</v>
      </c>
      <c r="M358">
        <v>0.100332811276429</v>
      </c>
      <c r="N358">
        <v>217</v>
      </c>
      <c r="O358" t="s">
        <v>18</v>
      </c>
      <c r="P358">
        <v>0.13127646702964299</v>
      </c>
      <c r="Q358">
        <v>16943.25</v>
      </c>
    </row>
    <row r="359" spans="1:17" x14ac:dyDescent="0.3">
      <c r="A359" t="s">
        <v>387</v>
      </c>
      <c r="B359" t="s">
        <v>15</v>
      </c>
      <c r="C359" s="1">
        <v>44777</v>
      </c>
      <c r="D359" s="1">
        <v>44788</v>
      </c>
      <c r="E359" t="s">
        <v>24</v>
      </c>
      <c r="F359">
        <v>11</v>
      </c>
      <c r="G359" t="s">
        <v>36</v>
      </c>
      <c r="H359">
        <v>850</v>
      </c>
      <c r="I359">
        <v>91.38</v>
      </c>
      <c r="J359">
        <v>88.41</v>
      </c>
      <c r="K359">
        <v>77673</v>
      </c>
      <c r="L359">
        <v>75148.5</v>
      </c>
      <c r="M359">
        <v>3.2501641497045299E-2</v>
      </c>
      <c r="N359">
        <v>24</v>
      </c>
      <c r="O359" t="s">
        <v>18</v>
      </c>
      <c r="P359">
        <v>2.8235294117647101E-2</v>
      </c>
      <c r="Q359">
        <v>2524.5</v>
      </c>
    </row>
    <row r="360" spans="1:17" x14ac:dyDescent="0.3">
      <c r="A360" t="s">
        <v>388</v>
      </c>
      <c r="B360" t="s">
        <v>32</v>
      </c>
      <c r="C360" s="1">
        <v>44913</v>
      </c>
      <c r="D360" s="1">
        <v>44916</v>
      </c>
      <c r="E360" t="s">
        <v>29</v>
      </c>
      <c r="F360">
        <v>3</v>
      </c>
      <c r="G360" t="s">
        <v>21</v>
      </c>
      <c r="H360">
        <v>447</v>
      </c>
      <c r="I360">
        <v>59.81</v>
      </c>
      <c r="J360">
        <v>57.92</v>
      </c>
      <c r="K360">
        <v>26735.07</v>
      </c>
      <c r="L360">
        <v>25890.240000000002</v>
      </c>
      <c r="M360">
        <v>3.16000668784484E-2</v>
      </c>
      <c r="N360">
        <v>13</v>
      </c>
      <c r="O360" t="s">
        <v>18</v>
      </c>
      <c r="P360">
        <v>2.9082774049217001E-2</v>
      </c>
      <c r="Q360">
        <v>844.83</v>
      </c>
    </row>
    <row r="361" spans="1:17" x14ac:dyDescent="0.3">
      <c r="A361" t="s">
        <v>389</v>
      </c>
      <c r="B361" t="s">
        <v>23</v>
      </c>
      <c r="C361" s="1">
        <v>44770</v>
      </c>
      <c r="D361" s="1">
        <v>44780</v>
      </c>
      <c r="E361" t="s">
        <v>16</v>
      </c>
      <c r="F361">
        <v>10</v>
      </c>
      <c r="G361" t="s">
        <v>21</v>
      </c>
      <c r="H361">
        <v>1350</v>
      </c>
      <c r="I361">
        <v>65.11</v>
      </c>
      <c r="J361">
        <v>56.95</v>
      </c>
      <c r="K361">
        <v>87898.5</v>
      </c>
      <c r="L361">
        <v>76882.5</v>
      </c>
      <c r="M361">
        <v>0.12532637075718001</v>
      </c>
      <c r="N361">
        <v>71</v>
      </c>
      <c r="O361" t="s">
        <v>18</v>
      </c>
      <c r="P361">
        <v>5.25925925925926E-2</v>
      </c>
      <c r="Q361">
        <v>11016</v>
      </c>
    </row>
    <row r="362" spans="1:17" x14ac:dyDescent="0.3">
      <c r="A362" t="s">
        <v>390</v>
      </c>
      <c r="B362" t="s">
        <v>26</v>
      </c>
      <c r="C362" s="1">
        <v>45265</v>
      </c>
      <c r="D362" s="1">
        <v>45284</v>
      </c>
      <c r="E362" t="s">
        <v>16</v>
      </c>
      <c r="F362">
        <v>19</v>
      </c>
      <c r="G362" t="s">
        <v>21</v>
      </c>
      <c r="H362">
        <v>865</v>
      </c>
      <c r="I362">
        <v>51.19</v>
      </c>
      <c r="J362">
        <v>47.76</v>
      </c>
      <c r="K362">
        <v>44279.35</v>
      </c>
      <c r="L362">
        <v>41312.400000000001</v>
      </c>
      <c r="M362">
        <v>6.7005274467669407E-2</v>
      </c>
      <c r="N362">
        <v>83</v>
      </c>
      <c r="O362" t="s">
        <v>18</v>
      </c>
      <c r="P362">
        <v>9.5953757225433506E-2</v>
      </c>
      <c r="Q362">
        <v>2966.95</v>
      </c>
    </row>
    <row r="363" spans="1:17" x14ac:dyDescent="0.3">
      <c r="A363" t="s">
        <v>391</v>
      </c>
      <c r="B363" t="s">
        <v>15</v>
      </c>
      <c r="C363" s="1">
        <v>45211</v>
      </c>
      <c r="D363" s="1">
        <v>45228</v>
      </c>
      <c r="E363" t="s">
        <v>24</v>
      </c>
      <c r="F363">
        <v>17</v>
      </c>
      <c r="G363" t="s">
        <v>21</v>
      </c>
      <c r="H363">
        <v>1989</v>
      </c>
      <c r="I363">
        <v>16.5</v>
      </c>
      <c r="J363">
        <v>15.89</v>
      </c>
      <c r="K363">
        <v>32818.5</v>
      </c>
      <c r="L363">
        <v>31605.21</v>
      </c>
      <c r="M363">
        <v>3.6969696969696902E-2</v>
      </c>
      <c r="N363">
        <v>57</v>
      </c>
      <c r="O363" t="s">
        <v>18</v>
      </c>
      <c r="P363">
        <v>2.8657616892910999E-2</v>
      </c>
      <c r="Q363">
        <v>1213.29</v>
      </c>
    </row>
    <row r="364" spans="1:17" x14ac:dyDescent="0.3">
      <c r="A364" t="s">
        <v>392</v>
      </c>
      <c r="B364" t="s">
        <v>15</v>
      </c>
      <c r="C364" s="1">
        <v>44832</v>
      </c>
      <c r="D364" s="1">
        <v>44847</v>
      </c>
      <c r="E364" t="s">
        <v>16</v>
      </c>
      <c r="F364">
        <v>15</v>
      </c>
      <c r="G364" t="s">
        <v>21</v>
      </c>
      <c r="H364">
        <v>1577</v>
      </c>
      <c r="I364">
        <v>41.77</v>
      </c>
      <c r="J364">
        <v>39.58</v>
      </c>
      <c r="K364">
        <v>65871.289999999994</v>
      </c>
      <c r="L364">
        <v>62417.66</v>
      </c>
      <c r="M364">
        <v>5.2429973665310201E-2</v>
      </c>
      <c r="N364">
        <v>32</v>
      </c>
      <c r="O364" t="s">
        <v>18</v>
      </c>
      <c r="P364">
        <v>2.0291693088142E-2</v>
      </c>
      <c r="Q364">
        <v>3453.63</v>
      </c>
    </row>
    <row r="365" spans="1:17" x14ac:dyDescent="0.3">
      <c r="A365" t="s">
        <v>393</v>
      </c>
      <c r="B365" t="s">
        <v>23</v>
      </c>
      <c r="C365" s="1">
        <v>45079</v>
      </c>
      <c r="D365" s="1">
        <v>45081</v>
      </c>
      <c r="E365" t="s">
        <v>27</v>
      </c>
      <c r="F365">
        <v>2</v>
      </c>
      <c r="G365" t="s">
        <v>38</v>
      </c>
      <c r="H365">
        <v>1969</v>
      </c>
      <c r="I365">
        <v>89.25</v>
      </c>
      <c r="J365">
        <v>87.28</v>
      </c>
      <c r="K365">
        <v>175733.25</v>
      </c>
      <c r="L365">
        <v>171854.32</v>
      </c>
      <c r="M365">
        <v>2.2072829131652601E-2</v>
      </c>
      <c r="N365">
        <v>108</v>
      </c>
      <c r="O365" t="s">
        <v>30</v>
      </c>
      <c r="P365">
        <v>5.4850177755205697E-2</v>
      </c>
      <c r="Q365">
        <v>3878.93</v>
      </c>
    </row>
    <row r="366" spans="1:17" x14ac:dyDescent="0.3">
      <c r="A366" t="s">
        <v>394</v>
      </c>
      <c r="B366" t="s">
        <v>26</v>
      </c>
      <c r="C366" s="1">
        <v>45062</v>
      </c>
      <c r="D366" s="1">
        <v>45072</v>
      </c>
      <c r="E366" t="s">
        <v>27</v>
      </c>
      <c r="F366">
        <v>10</v>
      </c>
      <c r="G366" t="s">
        <v>36</v>
      </c>
      <c r="H366">
        <v>1465</v>
      </c>
      <c r="I366">
        <v>11.25</v>
      </c>
      <c r="J366">
        <v>9.61</v>
      </c>
      <c r="K366">
        <v>16481.25</v>
      </c>
      <c r="L366">
        <v>14078.65</v>
      </c>
      <c r="M366">
        <v>0.14577777777777801</v>
      </c>
      <c r="N366">
        <v>151</v>
      </c>
      <c r="O366" t="s">
        <v>18</v>
      </c>
      <c r="P366">
        <v>0.103071672354949</v>
      </c>
      <c r="Q366">
        <v>2402.6</v>
      </c>
    </row>
    <row r="367" spans="1:17" x14ac:dyDescent="0.3">
      <c r="A367" t="s">
        <v>395</v>
      </c>
      <c r="B367" t="s">
        <v>20</v>
      </c>
      <c r="C367" s="1">
        <v>44819</v>
      </c>
      <c r="D367" s="1">
        <v>44822</v>
      </c>
      <c r="E367" t="s">
        <v>27</v>
      </c>
      <c r="F367">
        <v>3</v>
      </c>
      <c r="G367" t="s">
        <v>38</v>
      </c>
      <c r="H367">
        <v>1208</v>
      </c>
      <c r="I367">
        <v>41.62</v>
      </c>
      <c r="J367">
        <v>39.46</v>
      </c>
      <c r="K367">
        <v>50276.959999999999</v>
      </c>
      <c r="L367">
        <v>47667.68</v>
      </c>
      <c r="M367">
        <v>5.1898125901009097E-2</v>
      </c>
      <c r="N367">
        <v>0</v>
      </c>
      <c r="O367" t="s">
        <v>18</v>
      </c>
      <c r="P367">
        <v>0</v>
      </c>
      <c r="Q367">
        <v>2609.2800000000002</v>
      </c>
    </row>
    <row r="368" spans="1:17" x14ac:dyDescent="0.3">
      <c r="A368" t="s">
        <v>396</v>
      </c>
      <c r="B368" t="s">
        <v>26</v>
      </c>
      <c r="C368" s="1">
        <v>44614</v>
      </c>
      <c r="D368" s="1">
        <v>44631</v>
      </c>
      <c r="E368" t="s">
        <v>29</v>
      </c>
      <c r="F368">
        <v>17</v>
      </c>
      <c r="G368" t="s">
        <v>21</v>
      </c>
      <c r="H368">
        <v>1268</v>
      </c>
      <c r="I368">
        <v>46.06</v>
      </c>
      <c r="J368">
        <v>45.26</v>
      </c>
      <c r="K368">
        <v>58404.08</v>
      </c>
      <c r="L368">
        <v>57389.68</v>
      </c>
      <c r="M368">
        <v>1.7368649587494601E-2</v>
      </c>
      <c r="N368">
        <v>123</v>
      </c>
      <c r="O368" t="s">
        <v>18</v>
      </c>
      <c r="P368">
        <v>9.70031545741325E-2</v>
      </c>
      <c r="Q368">
        <v>1014.4</v>
      </c>
    </row>
    <row r="369" spans="1:17" x14ac:dyDescent="0.3">
      <c r="A369" t="s">
        <v>397</v>
      </c>
      <c r="B369" t="s">
        <v>20</v>
      </c>
      <c r="C369" s="1">
        <v>44656</v>
      </c>
      <c r="D369" s="1">
        <v>44675</v>
      </c>
      <c r="E369" t="s">
        <v>16</v>
      </c>
      <c r="F369">
        <v>19</v>
      </c>
      <c r="G369" t="s">
        <v>21</v>
      </c>
      <c r="H369">
        <v>450</v>
      </c>
      <c r="I369">
        <v>59.24</v>
      </c>
      <c r="J369">
        <v>55.03</v>
      </c>
      <c r="K369">
        <v>26658</v>
      </c>
      <c r="L369">
        <v>24763.5</v>
      </c>
      <c r="M369">
        <v>7.1066846725185706E-2</v>
      </c>
      <c r="N369">
        <v>68</v>
      </c>
      <c r="O369" t="s">
        <v>30</v>
      </c>
      <c r="P369">
        <v>0.151111111111111</v>
      </c>
      <c r="Q369">
        <v>1894.5</v>
      </c>
    </row>
    <row r="370" spans="1:17" x14ac:dyDescent="0.3">
      <c r="A370" t="s">
        <v>398</v>
      </c>
      <c r="B370" t="s">
        <v>23</v>
      </c>
      <c r="C370" s="1">
        <v>45211</v>
      </c>
      <c r="D370" s="1">
        <v>45213</v>
      </c>
      <c r="E370" t="s">
        <v>42</v>
      </c>
      <c r="F370">
        <v>2</v>
      </c>
      <c r="G370" t="s">
        <v>36</v>
      </c>
      <c r="H370">
        <v>689</v>
      </c>
      <c r="I370">
        <v>102.53</v>
      </c>
      <c r="J370">
        <v>95.23</v>
      </c>
      <c r="K370">
        <v>70643.17</v>
      </c>
      <c r="L370">
        <v>65613.47</v>
      </c>
      <c r="M370">
        <v>7.11986735589583E-2</v>
      </c>
      <c r="N370">
        <v>38</v>
      </c>
      <c r="O370" t="s">
        <v>18</v>
      </c>
      <c r="P370">
        <v>5.5152394775036299E-2</v>
      </c>
      <c r="Q370">
        <v>5029.7</v>
      </c>
    </row>
    <row r="371" spans="1:17" x14ac:dyDescent="0.3">
      <c r="A371" t="s">
        <v>399</v>
      </c>
      <c r="B371" t="s">
        <v>23</v>
      </c>
      <c r="C371" s="1">
        <v>44995</v>
      </c>
      <c r="D371" s="1">
        <v>45014</v>
      </c>
      <c r="E371" t="s">
        <v>24</v>
      </c>
      <c r="F371">
        <v>19</v>
      </c>
      <c r="G371" t="s">
        <v>21</v>
      </c>
      <c r="H371">
        <v>1106</v>
      </c>
      <c r="I371">
        <v>44.05</v>
      </c>
      <c r="J371">
        <v>38.6</v>
      </c>
      <c r="K371">
        <v>48719.3</v>
      </c>
      <c r="L371">
        <v>42691.6</v>
      </c>
      <c r="M371">
        <v>0.12372304199773</v>
      </c>
      <c r="N371">
        <v>51</v>
      </c>
      <c r="O371" t="s">
        <v>18</v>
      </c>
      <c r="P371">
        <v>4.6112115732368897E-2</v>
      </c>
      <c r="Q371">
        <v>6027.7</v>
      </c>
    </row>
    <row r="372" spans="1:17" x14ac:dyDescent="0.3">
      <c r="A372" t="s">
        <v>400</v>
      </c>
      <c r="B372" t="s">
        <v>15</v>
      </c>
      <c r="C372" s="1">
        <v>44845</v>
      </c>
      <c r="D372" s="1">
        <v>44856</v>
      </c>
      <c r="E372" t="s">
        <v>16</v>
      </c>
      <c r="F372">
        <v>11</v>
      </c>
      <c r="G372" t="s">
        <v>21</v>
      </c>
      <c r="H372">
        <v>737</v>
      </c>
      <c r="I372">
        <v>43.08</v>
      </c>
      <c r="J372">
        <v>42.58</v>
      </c>
      <c r="K372">
        <v>31749.96</v>
      </c>
      <c r="L372">
        <v>31381.46</v>
      </c>
      <c r="M372">
        <v>1.1606313834726101E-2</v>
      </c>
      <c r="N372">
        <v>21</v>
      </c>
      <c r="O372" t="s">
        <v>18</v>
      </c>
      <c r="P372">
        <v>2.8493894165536E-2</v>
      </c>
      <c r="Q372">
        <v>368.5</v>
      </c>
    </row>
    <row r="373" spans="1:17" x14ac:dyDescent="0.3">
      <c r="A373" t="s">
        <v>401</v>
      </c>
      <c r="B373" t="s">
        <v>15</v>
      </c>
      <c r="C373" s="1">
        <v>44607</v>
      </c>
      <c r="D373" s="1">
        <v>44624</v>
      </c>
      <c r="E373" t="s">
        <v>29</v>
      </c>
      <c r="F373">
        <v>17</v>
      </c>
      <c r="G373" t="s">
        <v>21</v>
      </c>
      <c r="H373">
        <v>509</v>
      </c>
      <c r="I373">
        <v>76.760000000000005</v>
      </c>
      <c r="J373">
        <v>74.72</v>
      </c>
      <c r="K373">
        <v>39070.839999999997</v>
      </c>
      <c r="L373">
        <v>38032.480000000003</v>
      </c>
      <c r="M373">
        <v>2.6576341844710999E-2</v>
      </c>
      <c r="N373">
        <v>7</v>
      </c>
      <c r="O373" t="s">
        <v>30</v>
      </c>
      <c r="P373">
        <v>1.37524557956778E-2</v>
      </c>
      <c r="Q373">
        <v>1038.3599999999999</v>
      </c>
    </row>
    <row r="374" spans="1:17" x14ac:dyDescent="0.3">
      <c r="A374" t="s">
        <v>402</v>
      </c>
      <c r="B374" t="s">
        <v>15</v>
      </c>
      <c r="C374" s="1">
        <v>44565</v>
      </c>
      <c r="D374" s="1">
        <v>44567</v>
      </c>
      <c r="E374" t="s">
        <v>42</v>
      </c>
      <c r="F374">
        <v>2</v>
      </c>
      <c r="G374" t="s">
        <v>21</v>
      </c>
      <c r="H374">
        <v>1004</v>
      </c>
      <c r="I374">
        <v>50.7</v>
      </c>
      <c r="J374">
        <v>46.59</v>
      </c>
      <c r="K374">
        <v>50902.8</v>
      </c>
      <c r="L374">
        <v>46776.36</v>
      </c>
      <c r="M374">
        <v>8.10650887573965E-2</v>
      </c>
      <c r="N374">
        <v>27</v>
      </c>
      <c r="O374" t="s">
        <v>18</v>
      </c>
      <c r="P374">
        <v>2.6892430278884501E-2</v>
      </c>
      <c r="Q374">
        <v>4126.4399999999996</v>
      </c>
    </row>
    <row r="375" spans="1:17" x14ac:dyDescent="0.3">
      <c r="A375" t="s">
        <v>403</v>
      </c>
      <c r="B375" t="s">
        <v>23</v>
      </c>
      <c r="C375" s="1">
        <v>44903</v>
      </c>
      <c r="D375" s="1">
        <v>44914</v>
      </c>
      <c r="E375" t="s">
        <v>24</v>
      </c>
      <c r="F375">
        <v>11</v>
      </c>
      <c r="G375" t="s">
        <v>38</v>
      </c>
      <c r="H375">
        <v>1956</v>
      </c>
      <c r="I375">
        <v>31.88</v>
      </c>
      <c r="J375">
        <v>28.48</v>
      </c>
      <c r="K375">
        <v>62357.279999999999</v>
      </c>
      <c r="L375">
        <v>55706.879999999997</v>
      </c>
      <c r="M375">
        <v>0.10664993726474301</v>
      </c>
      <c r="N375">
        <v>86</v>
      </c>
      <c r="O375" t="s">
        <v>18</v>
      </c>
      <c r="P375">
        <v>4.3967280163599201E-2</v>
      </c>
      <c r="Q375">
        <v>6650.4</v>
      </c>
    </row>
    <row r="376" spans="1:17" x14ac:dyDescent="0.3">
      <c r="A376" t="s">
        <v>404</v>
      </c>
      <c r="B376" t="s">
        <v>23</v>
      </c>
      <c r="C376" s="1">
        <v>45214</v>
      </c>
      <c r="D376" s="1">
        <v>45220</v>
      </c>
      <c r="E376" t="s">
        <v>24</v>
      </c>
      <c r="F376">
        <v>6</v>
      </c>
      <c r="G376" t="s">
        <v>36</v>
      </c>
      <c r="H376">
        <v>1448</v>
      </c>
      <c r="I376">
        <v>25.06</v>
      </c>
      <c r="J376">
        <v>21.62</v>
      </c>
      <c r="K376">
        <v>36286.879999999997</v>
      </c>
      <c r="L376">
        <v>31305.759999999998</v>
      </c>
      <c r="M376">
        <v>0.13727055067837199</v>
      </c>
      <c r="N376">
        <v>84</v>
      </c>
      <c r="O376" t="s">
        <v>18</v>
      </c>
      <c r="P376">
        <v>5.8011049723756897E-2</v>
      </c>
      <c r="Q376">
        <v>4981.12</v>
      </c>
    </row>
    <row r="377" spans="1:17" x14ac:dyDescent="0.3">
      <c r="A377" t="s">
        <v>405</v>
      </c>
      <c r="B377" t="s">
        <v>23</v>
      </c>
      <c r="C377" s="1">
        <v>44830</v>
      </c>
      <c r="D377" s="1">
        <v>44845</v>
      </c>
      <c r="E377" t="s">
        <v>27</v>
      </c>
      <c r="F377">
        <v>15</v>
      </c>
      <c r="G377" t="s">
        <v>21</v>
      </c>
      <c r="H377">
        <v>1095</v>
      </c>
      <c r="I377">
        <v>26.91</v>
      </c>
      <c r="J377">
        <v>23.75</v>
      </c>
      <c r="K377">
        <v>29466.45</v>
      </c>
      <c r="L377">
        <v>26006.25</v>
      </c>
      <c r="M377">
        <v>0.117428465254552</v>
      </c>
      <c r="N377">
        <v>53</v>
      </c>
      <c r="O377" t="s">
        <v>18</v>
      </c>
      <c r="P377">
        <v>4.84018264840183E-2</v>
      </c>
      <c r="Q377">
        <v>3460.2</v>
      </c>
    </row>
    <row r="378" spans="1:17" x14ac:dyDescent="0.3">
      <c r="A378" t="s">
        <v>406</v>
      </c>
      <c r="B378" t="s">
        <v>26</v>
      </c>
      <c r="C378" s="1">
        <v>45014</v>
      </c>
      <c r="D378" s="1">
        <v>45034</v>
      </c>
      <c r="E378" t="s">
        <v>24</v>
      </c>
      <c r="F378">
        <v>20</v>
      </c>
      <c r="G378" t="s">
        <v>36</v>
      </c>
      <c r="H378">
        <v>1743</v>
      </c>
      <c r="I378">
        <v>51.04</v>
      </c>
      <c r="J378">
        <v>47.15</v>
      </c>
      <c r="K378">
        <v>88962.72</v>
      </c>
      <c r="L378">
        <v>82182.45</v>
      </c>
      <c r="M378">
        <v>7.6214733542319807E-2</v>
      </c>
      <c r="N378">
        <v>160</v>
      </c>
      <c r="O378" t="s">
        <v>18</v>
      </c>
      <c r="P378">
        <v>9.1795754446356903E-2</v>
      </c>
      <c r="Q378">
        <v>6780.27</v>
      </c>
    </row>
    <row r="379" spans="1:17" x14ac:dyDescent="0.3">
      <c r="A379" t="s">
        <v>407</v>
      </c>
      <c r="B379" t="s">
        <v>15</v>
      </c>
      <c r="C379" s="1">
        <v>45126</v>
      </c>
      <c r="D379" s="1">
        <v>45138</v>
      </c>
      <c r="E379" t="s">
        <v>29</v>
      </c>
      <c r="F379">
        <v>12</v>
      </c>
      <c r="G379" t="s">
        <v>21</v>
      </c>
      <c r="H379">
        <v>87</v>
      </c>
      <c r="I379">
        <v>100.65</v>
      </c>
      <c r="J379">
        <v>85.56</v>
      </c>
      <c r="K379">
        <v>8756.5499999999993</v>
      </c>
      <c r="L379">
        <v>7443.72</v>
      </c>
      <c r="M379">
        <v>0.14992548435171399</v>
      </c>
      <c r="N379">
        <v>1</v>
      </c>
      <c r="O379" t="s">
        <v>18</v>
      </c>
      <c r="P379">
        <v>1.1494252873563199E-2</v>
      </c>
      <c r="Q379">
        <v>1312.83</v>
      </c>
    </row>
    <row r="380" spans="1:17" x14ac:dyDescent="0.3">
      <c r="A380" t="s">
        <v>408</v>
      </c>
      <c r="B380" t="s">
        <v>20</v>
      </c>
      <c r="C380" s="1">
        <v>44999</v>
      </c>
      <c r="D380" s="1">
        <v>45010</v>
      </c>
      <c r="E380" t="s">
        <v>29</v>
      </c>
      <c r="F380">
        <v>11</v>
      </c>
      <c r="G380" t="s">
        <v>21</v>
      </c>
      <c r="H380">
        <v>1438</v>
      </c>
      <c r="I380">
        <v>66.61</v>
      </c>
      <c r="J380">
        <v>58.5</v>
      </c>
      <c r="K380">
        <v>95785.18</v>
      </c>
      <c r="L380">
        <v>84123</v>
      </c>
      <c r="M380">
        <v>0.121753490466897</v>
      </c>
      <c r="N380">
        <v>237</v>
      </c>
      <c r="O380" t="s">
        <v>18</v>
      </c>
      <c r="P380">
        <v>0.16481223922113999</v>
      </c>
      <c r="Q380">
        <v>11662.18</v>
      </c>
    </row>
    <row r="381" spans="1:17" x14ac:dyDescent="0.3">
      <c r="A381" t="s">
        <v>409</v>
      </c>
      <c r="B381" t="s">
        <v>20</v>
      </c>
      <c r="C381" s="1">
        <v>45136</v>
      </c>
      <c r="D381" s="1">
        <v>45138</v>
      </c>
      <c r="E381" t="s">
        <v>16</v>
      </c>
      <c r="F381">
        <v>2</v>
      </c>
      <c r="G381" t="s">
        <v>36</v>
      </c>
      <c r="H381">
        <v>612</v>
      </c>
      <c r="I381">
        <v>72.930000000000007</v>
      </c>
      <c r="J381">
        <v>63.32</v>
      </c>
      <c r="K381">
        <v>44633.16</v>
      </c>
      <c r="L381">
        <v>38751.839999999997</v>
      </c>
      <c r="M381">
        <v>0.13177019059372</v>
      </c>
      <c r="N381">
        <v>99</v>
      </c>
      <c r="O381" t="s">
        <v>18</v>
      </c>
      <c r="P381">
        <v>0.161764705882353</v>
      </c>
      <c r="Q381">
        <v>5881.32</v>
      </c>
    </row>
    <row r="382" spans="1:17" x14ac:dyDescent="0.3">
      <c r="A382" t="s">
        <v>410</v>
      </c>
      <c r="B382" t="s">
        <v>32</v>
      </c>
      <c r="C382" s="1">
        <v>44571</v>
      </c>
      <c r="D382" s="1">
        <v>44582</v>
      </c>
      <c r="E382" t="s">
        <v>27</v>
      </c>
      <c r="F382">
        <v>11</v>
      </c>
      <c r="G382" t="s">
        <v>38</v>
      </c>
      <c r="H382">
        <v>487</v>
      </c>
      <c r="I382">
        <v>11.18</v>
      </c>
      <c r="J382">
        <v>10.63</v>
      </c>
      <c r="K382">
        <v>5444.66</v>
      </c>
      <c r="L382">
        <v>5176.8100000000004</v>
      </c>
      <c r="M382">
        <v>4.9194991055456098E-2</v>
      </c>
      <c r="N382">
        <v>15</v>
      </c>
      <c r="O382" t="s">
        <v>18</v>
      </c>
      <c r="P382">
        <v>3.08008213552361E-2</v>
      </c>
      <c r="Q382">
        <v>267.85000000000002</v>
      </c>
    </row>
    <row r="383" spans="1:17" x14ac:dyDescent="0.3">
      <c r="A383" t="s">
        <v>411</v>
      </c>
      <c r="B383" t="s">
        <v>32</v>
      </c>
      <c r="C383" s="1">
        <v>44676</v>
      </c>
      <c r="D383" s="1">
        <v>44680</v>
      </c>
      <c r="E383" t="s">
        <v>27</v>
      </c>
      <c r="F383">
        <v>4</v>
      </c>
      <c r="G383" t="s">
        <v>36</v>
      </c>
      <c r="H383">
        <v>1849</v>
      </c>
      <c r="I383">
        <v>70.760000000000005</v>
      </c>
      <c r="J383">
        <v>69.25</v>
      </c>
      <c r="K383">
        <v>130835.24</v>
      </c>
      <c r="L383">
        <v>128043.25</v>
      </c>
      <c r="M383">
        <v>2.1339739966082599E-2</v>
      </c>
      <c r="N383">
        <v>51</v>
      </c>
      <c r="O383" t="s">
        <v>18</v>
      </c>
      <c r="P383">
        <v>2.7582477014602501E-2</v>
      </c>
      <c r="Q383">
        <v>2791.99</v>
      </c>
    </row>
    <row r="384" spans="1:17" x14ac:dyDescent="0.3">
      <c r="A384" t="s">
        <v>412</v>
      </c>
      <c r="B384" t="s">
        <v>32</v>
      </c>
      <c r="C384" s="1">
        <v>44639</v>
      </c>
      <c r="D384" s="1">
        <v>44652</v>
      </c>
      <c r="E384" t="s">
        <v>24</v>
      </c>
      <c r="F384">
        <v>13</v>
      </c>
      <c r="G384" t="s">
        <v>36</v>
      </c>
      <c r="H384">
        <v>1356</v>
      </c>
      <c r="I384">
        <v>26.28</v>
      </c>
      <c r="J384">
        <v>25.44</v>
      </c>
      <c r="K384">
        <v>35635.68</v>
      </c>
      <c r="L384">
        <v>34496.639999999999</v>
      </c>
      <c r="M384">
        <v>3.1963470319634701E-2</v>
      </c>
      <c r="N384">
        <v>47</v>
      </c>
      <c r="O384" t="s">
        <v>18</v>
      </c>
      <c r="P384">
        <v>3.46607669616519E-2</v>
      </c>
      <c r="Q384">
        <v>1139.04</v>
      </c>
    </row>
    <row r="385" spans="1:17" x14ac:dyDescent="0.3">
      <c r="A385" t="s">
        <v>413</v>
      </c>
      <c r="B385" t="s">
        <v>20</v>
      </c>
      <c r="C385" s="1">
        <v>45269</v>
      </c>
      <c r="D385" s="1">
        <v>45289</v>
      </c>
      <c r="E385" t="s">
        <v>29</v>
      </c>
      <c r="F385">
        <v>20</v>
      </c>
      <c r="G385" t="s">
        <v>21</v>
      </c>
      <c r="H385">
        <v>76</v>
      </c>
      <c r="I385">
        <v>107.59</v>
      </c>
      <c r="J385">
        <v>96.33</v>
      </c>
      <c r="K385">
        <v>8176.84</v>
      </c>
      <c r="L385">
        <v>7321.08</v>
      </c>
      <c r="M385">
        <v>0.10465656659540901</v>
      </c>
      <c r="N385">
        <v>10</v>
      </c>
      <c r="O385" t="s">
        <v>18</v>
      </c>
      <c r="P385">
        <v>0.13157894736842099</v>
      </c>
      <c r="Q385">
        <v>855.76</v>
      </c>
    </row>
    <row r="386" spans="1:17" x14ac:dyDescent="0.3">
      <c r="A386" t="s">
        <v>414</v>
      </c>
      <c r="B386" t="s">
        <v>15</v>
      </c>
      <c r="C386" s="1">
        <v>44714</v>
      </c>
      <c r="D386" s="1">
        <v>44725</v>
      </c>
      <c r="E386" t="s">
        <v>27</v>
      </c>
      <c r="F386">
        <v>11</v>
      </c>
      <c r="G386" t="s">
        <v>36</v>
      </c>
      <c r="H386">
        <v>275</v>
      </c>
      <c r="I386">
        <v>23.96</v>
      </c>
      <c r="J386">
        <v>20.440000000000001</v>
      </c>
      <c r="K386">
        <v>6589</v>
      </c>
      <c r="L386">
        <v>5621</v>
      </c>
      <c r="M386">
        <v>0.14691151919866399</v>
      </c>
      <c r="N386">
        <v>0</v>
      </c>
      <c r="O386" t="s">
        <v>18</v>
      </c>
      <c r="P386">
        <v>0</v>
      </c>
      <c r="Q386">
        <v>968</v>
      </c>
    </row>
    <row r="387" spans="1:17" x14ac:dyDescent="0.3">
      <c r="A387" t="s">
        <v>415</v>
      </c>
      <c r="B387" t="s">
        <v>15</v>
      </c>
      <c r="C387" s="1">
        <v>45120</v>
      </c>
      <c r="D387" s="1">
        <v>45125</v>
      </c>
      <c r="E387" t="s">
        <v>27</v>
      </c>
      <c r="F387">
        <v>5</v>
      </c>
      <c r="G387" t="s">
        <v>21</v>
      </c>
      <c r="H387">
        <v>1350</v>
      </c>
      <c r="I387">
        <v>51.57</v>
      </c>
      <c r="J387">
        <v>48.07</v>
      </c>
      <c r="K387">
        <v>69619.5</v>
      </c>
      <c r="L387">
        <v>64894.5</v>
      </c>
      <c r="M387">
        <v>6.7868916036455298E-2</v>
      </c>
      <c r="N387">
        <v>0</v>
      </c>
      <c r="O387" t="s">
        <v>18</v>
      </c>
      <c r="P387">
        <v>0</v>
      </c>
      <c r="Q387">
        <v>4725</v>
      </c>
    </row>
    <row r="388" spans="1:17" x14ac:dyDescent="0.3">
      <c r="A388" t="s">
        <v>416</v>
      </c>
      <c r="B388" t="s">
        <v>23</v>
      </c>
      <c r="C388" s="1">
        <v>44940</v>
      </c>
      <c r="D388" s="1">
        <v>44953</v>
      </c>
      <c r="E388" t="s">
        <v>24</v>
      </c>
      <c r="F388">
        <v>13</v>
      </c>
      <c r="G388" t="s">
        <v>21</v>
      </c>
      <c r="H388">
        <v>1682</v>
      </c>
      <c r="I388">
        <v>105.7</v>
      </c>
      <c r="J388">
        <v>101.3</v>
      </c>
      <c r="K388">
        <v>177787.4</v>
      </c>
      <c r="L388">
        <v>170386.6</v>
      </c>
      <c r="M388">
        <v>4.1627246925260097E-2</v>
      </c>
      <c r="N388">
        <v>94</v>
      </c>
      <c r="O388" t="s">
        <v>18</v>
      </c>
      <c r="P388">
        <v>5.5885850178359099E-2</v>
      </c>
      <c r="Q388">
        <v>7400.8</v>
      </c>
    </row>
    <row r="389" spans="1:17" x14ac:dyDescent="0.3">
      <c r="A389" t="s">
        <v>417</v>
      </c>
      <c r="B389" t="s">
        <v>32</v>
      </c>
      <c r="C389" s="1">
        <v>45158</v>
      </c>
      <c r="D389" s="1">
        <v>45161</v>
      </c>
      <c r="E389" t="s">
        <v>42</v>
      </c>
      <c r="F389">
        <v>3</v>
      </c>
      <c r="G389" t="s">
        <v>21</v>
      </c>
      <c r="H389">
        <v>333</v>
      </c>
      <c r="I389">
        <v>60.44</v>
      </c>
      <c r="J389">
        <v>58.54</v>
      </c>
      <c r="K389">
        <v>20126.52</v>
      </c>
      <c r="L389">
        <v>19493.82</v>
      </c>
      <c r="M389">
        <v>3.1436135009927202E-2</v>
      </c>
      <c r="N389">
        <v>8</v>
      </c>
      <c r="O389" t="s">
        <v>18</v>
      </c>
      <c r="P389">
        <v>2.4024024024024E-2</v>
      </c>
      <c r="Q389">
        <v>632.70000000000005</v>
      </c>
    </row>
    <row r="390" spans="1:17" x14ac:dyDescent="0.3">
      <c r="A390" t="s">
        <v>418</v>
      </c>
      <c r="B390" t="s">
        <v>15</v>
      </c>
      <c r="C390" s="1">
        <v>45127</v>
      </c>
      <c r="D390" s="1">
        <v>45140</v>
      </c>
      <c r="E390" t="s">
        <v>42</v>
      </c>
      <c r="F390">
        <v>13</v>
      </c>
      <c r="G390" t="s">
        <v>17</v>
      </c>
      <c r="H390">
        <v>928</v>
      </c>
      <c r="I390">
        <v>69.31</v>
      </c>
      <c r="J390">
        <v>67.260000000000005</v>
      </c>
      <c r="K390">
        <v>64319.68</v>
      </c>
      <c r="L390">
        <v>62417.279999999999</v>
      </c>
      <c r="M390">
        <v>2.9577261578415701E-2</v>
      </c>
      <c r="N390">
        <v>20</v>
      </c>
      <c r="O390" t="s">
        <v>18</v>
      </c>
      <c r="P390">
        <v>2.1551724137931001E-2</v>
      </c>
      <c r="Q390">
        <v>1902.4</v>
      </c>
    </row>
    <row r="391" spans="1:17" x14ac:dyDescent="0.3">
      <c r="A391" t="s">
        <v>419</v>
      </c>
      <c r="B391" t="s">
        <v>32</v>
      </c>
      <c r="C391" s="1">
        <v>44713</v>
      </c>
      <c r="D391" s="1">
        <v>44724</v>
      </c>
      <c r="E391" t="s">
        <v>24</v>
      </c>
      <c r="F391">
        <v>11</v>
      </c>
      <c r="G391" t="s">
        <v>36</v>
      </c>
      <c r="H391">
        <v>1009</v>
      </c>
      <c r="I391">
        <v>16.440000000000001</v>
      </c>
      <c r="J391">
        <v>16.18</v>
      </c>
      <c r="K391">
        <v>16587.96</v>
      </c>
      <c r="L391">
        <v>16325.62</v>
      </c>
      <c r="M391">
        <v>1.5815085158151099E-2</v>
      </c>
      <c r="N391">
        <v>0</v>
      </c>
      <c r="O391" t="s">
        <v>18</v>
      </c>
      <c r="P391">
        <v>0</v>
      </c>
      <c r="Q391">
        <v>262.33999999999997</v>
      </c>
    </row>
    <row r="392" spans="1:17" x14ac:dyDescent="0.3">
      <c r="A392" t="s">
        <v>420</v>
      </c>
      <c r="B392" t="s">
        <v>32</v>
      </c>
      <c r="C392" s="1">
        <v>45002</v>
      </c>
      <c r="D392" s="1">
        <v>45019</v>
      </c>
      <c r="E392" t="s">
        <v>42</v>
      </c>
      <c r="F392">
        <v>17</v>
      </c>
      <c r="G392" t="s">
        <v>38</v>
      </c>
      <c r="H392">
        <v>1554</v>
      </c>
      <c r="I392">
        <v>82.92</v>
      </c>
      <c r="J392">
        <v>74.819999999999993</v>
      </c>
      <c r="K392">
        <v>128857.68</v>
      </c>
      <c r="L392">
        <v>116270.28</v>
      </c>
      <c r="M392">
        <v>9.7684515195369206E-2</v>
      </c>
      <c r="N392">
        <v>44</v>
      </c>
      <c r="O392" t="s">
        <v>18</v>
      </c>
      <c r="P392">
        <v>2.8314028314028301E-2</v>
      </c>
      <c r="Q392">
        <v>12587.4</v>
      </c>
    </row>
    <row r="393" spans="1:17" x14ac:dyDescent="0.3">
      <c r="A393" t="s">
        <v>421</v>
      </c>
      <c r="B393" t="s">
        <v>23</v>
      </c>
      <c r="C393" s="1">
        <v>44692</v>
      </c>
      <c r="D393" s="1">
        <v>44706</v>
      </c>
      <c r="E393" t="s">
        <v>27</v>
      </c>
      <c r="F393">
        <v>14</v>
      </c>
      <c r="G393" t="s">
        <v>36</v>
      </c>
      <c r="H393">
        <v>502</v>
      </c>
      <c r="I393">
        <v>29.47</v>
      </c>
      <c r="J393">
        <v>28.94</v>
      </c>
      <c r="K393">
        <v>14793.94</v>
      </c>
      <c r="L393">
        <v>14527.88</v>
      </c>
      <c r="M393">
        <v>1.7984390906005999E-2</v>
      </c>
      <c r="N393">
        <v>27</v>
      </c>
      <c r="O393" t="s">
        <v>18</v>
      </c>
      <c r="P393">
        <v>5.3784860557768897E-2</v>
      </c>
      <c r="Q393">
        <v>266.06</v>
      </c>
    </row>
    <row r="394" spans="1:17" x14ac:dyDescent="0.3">
      <c r="A394" t="s">
        <v>422</v>
      </c>
      <c r="B394" t="s">
        <v>20</v>
      </c>
      <c r="C394" s="1">
        <v>44604</v>
      </c>
      <c r="D394" s="1">
        <v>44605</v>
      </c>
      <c r="E394" t="s">
        <v>24</v>
      </c>
      <c r="F394">
        <v>1</v>
      </c>
      <c r="G394" t="s">
        <v>21</v>
      </c>
      <c r="H394">
        <v>1069</v>
      </c>
      <c r="I394">
        <v>91.28</v>
      </c>
      <c r="J394">
        <v>82.64</v>
      </c>
      <c r="K394">
        <v>97578.32</v>
      </c>
      <c r="L394">
        <v>88342.16</v>
      </c>
      <c r="M394">
        <v>9.4653812445223501E-2</v>
      </c>
      <c r="N394">
        <v>0</v>
      </c>
      <c r="O394" t="s">
        <v>18</v>
      </c>
      <c r="P394">
        <v>0</v>
      </c>
      <c r="Q394">
        <v>9236.16</v>
      </c>
    </row>
    <row r="395" spans="1:17" x14ac:dyDescent="0.3">
      <c r="A395" t="s">
        <v>423</v>
      </c>
      <c r="B395" t="s">
        <v>15</v>
      </c>
      <c r="C395" s="1">
        <v>44877</v>
      </c>
      <c r="D395" s="1">
        <v>44883</v>
      </c>
      <c r="E395" t="s">
        <v>24</v>
      </c>
      <c r="F395">
        <v>6</v>
      </c>
      <c r="G395" t="s">
        <v>38</v>
      </c>
      <c r="H395">
        <v>1902</v>
      </c>
      <c r="I395">
        <v>29.89</v>
      </c>
      <c r="J395">
        <v>25.83</v>
      </c>
      <c r="K395">
        <v>56850.78</v>
      </c>
      <c r="L395">
        <v>49128.66</v>
      </c>
      <c r="M395">
        <v>0.13583138173302101</v>
      </c>
      <c r="N395">
        <v>41</v>
      </c>
      <c r="O395" t="s">
        <v>18</v>
      </c>
      <c r="P395">
        <v>2.1556256572029399E-2</v>
      </c>
      <c r="Q395">
        <v>7722.12</v>
      </c>
    </row>
    <row r="396" spans="1:17" x14ac:dyDescent="0.3">
      <c r="A396" t="s">
        <v>424</v>
      </c>
      <c r="B396" t="s">
        <v>20</v>
      </c>
      <c r="C396" s="1">
        <v>44602</v>
      </c>
      <c r="D396" s="1">
        <v>44618</v>
      </c>
      <c r="E396" t="s">
        <v>27</v>
      </c>
      <c r="F396">
        <v>16</v>
      </c>
      <c r="G396" t="s">
        <v>36</v>
      </c>
      <c r="H396">
        <v>708</v>
      </c>
      <c r="I396">
        <v>13.36</v>
      </c>
      <c r="J396">
        <v>11.61</v>
      </c>
      <c r="K396">
        <v>9458.8799999999992</v>
      </c>
      <c r="L396">
        <v>8219.8799999999992</v>
      </c>
      <c r="M396">
        <v>0.13098802395209599</v>
      </c>
      <c r="N396">
        <v>0</v>
      </c>
      <c r="O396" t="s">
        <v>30</v>
      </c>
      <c r="P396">
        <v>0</v>
      </c>
      <c r="Q396">
        <v>1239</v>
      </c>
    </row>
    <row r="397" spans="1:17" x14ac:dyDescent="0.3">
      <c r="A397" t="s">
        <v>425</v>
      </c>
      <c r="B397" t="s">
        <v>20</v>
      </c>
      <c r="C397" s="1">
        <v>44928</v>
      </c>
      <c r="D397" s="1">
        <v>44933</v>
      </c>
      <c r="E397" t="s">
        <v>27</v>
      </c>
      <c r="F397">
        <v>5</v>
      </c>
      <c r="G397" t="s">
        <v>21</v>
      </c>
      <c r="H397">
        <v>1589</v>
      </c>
      <c r="I397">
        <v>55.64</v>
      </c>
      <c r="J397">
        <v>48.52</v>
      </c>
      <c r="K397">
        <v>88411.96</v>
      </c>
      <c r="L397">
        <v>77098.28</v>
      </c>
      <c r="M397">
        <v>0.12796549245147401</v>
      </c>
      <c r="N397">
        <v>0</v>
      </c>
      <c r="O397" t="s">
        <v>18</v>
      </c>
      <c r="P397">
        <v>0</v>
      </c>
      <c r="Q397">
        <v>11313.68</v>
      </c>
    </row>
    <row r="398" spans="1:17" x14ac:dyDescent="0.3">
      <c r="A398" t="s">
        <v>426</v>
      </c>
      <c r="B398" t="s">
        <v>15</v>
      </c>
      <c r="C398" s="1">
        <v>44777</v>
      </c>
      <c r="D398" s="1">
        <v>44787</v>
      </c>
      <c r="E398" t="s">
        <v>16</v>
      </c>
      <c r="F398">
        <v>10</v>
      </c>
      <c r="G398" t="s">
        <v>21</v>
      </c>
      <c r="H398">
        <v>596</v>
      </c>
      <c r="I398">
        <v>62.96</v>
      </c>
      <c r="J398">
        <v>61.88</v>
      </c>
      <c r="K398">
        <v>37524.160000000003</v>
      </c>
      <c r="L398">
        <v>36880.480000000003</v>
      </c>
      <c r="M398">
        <v>1.7153748411690001E-2</v>
      </c>
      <c r="N398">
        <v>9</v>
      </c>
      <c r="O398" t="s">
        <v>18</v>
      </c>
      <c r="P398">
        <v>1.51006711409396E-2</v>
      </c>
      <c r="Q398">
        <v>643.67999999999995</v>
      </c>
    </row>
    <row r="399" spans="1:17" x14ac:dyDescent="0.3">
      <c r="A399" t="s">
        <v>427</v>
      </c>
      <c r="B399" t="s">
        <v>32</v>
      </c>
      <c r="C399" s="1">
        <v>45260</v>
      </c>
      <c r="D399" s="1">
        <v>45264</v>
      </c>
      <c r="E399" t="s">
        <v>16</v>
      </c>
      <c r="F399">
        <v>4</v>
      </c>
      <c r="G399" t="s">
        <v>21</v>
      </c>
      <c r="H399">
        <v>1265</v>
      </c>
      <c r="I399">
        <v>17.66</v>
      </c>
      <c r="J399">
        <v>16.97</v>
      </c>
      <c r="K399">
        <v>22339.9</v>
      </c>
      <c r="L399">
        <v>21467.05</v>
      </c>
      <c r="M399">
        <v>3.9071347678369298E-2</v>
      </c>
      <c r="N399">
        <v>34</v>
      </c>
      <c r="O399" t="s">
        <v>18</v>
      </c>
      <c r="P399">
        <v>2.6877470355731198E-2</v>
      </c>
      <c r="Q399">
        <v>872.85</v>
      </c>
    </row>
    <row r="400" spans="1:17" x14ac:dyDescent="0.3">
      <c r="A400" t="s">
        <v>428</v>
      </c>
      <c r="B400" t="s">
        <v>26</v>
      </c>
      <c r="C400" s="1">
        <v>44817</v>
      </c>
      <c r="D400" s="1">
        <v>44835</v>
      </c>
      <c r="E400" t="s">
        <v>29</v>
      </c>
      <c r="F400">
        <v>18</v>
      </c>
      <c r="G400" t="s">
        <v>21</v>
      </c>
      <c r="H400">
        <v>1122</v>
      </c>
      <c r="I400">
        <v>82.99</v>
      </c>
      <c r="J400">
        <v>81.7</v>
      </c>
      <c r="K400">
        <v>93114.78</v>
      </c>
      <c r="L400">
        <v>91667.4</v>
      </c>
      <c r="M400">
        <v>1.5544041450777099E-2</v>
      </c>
      <c r="N400">
        <v>118</v>
      </c>
      <c r="O400" t="s">
        <v>30</v>
      </c>
      <c r="P400">
        <v>0.10516934046345799</v>
      </c>
      <c r="Q400">
        <v>1447.38</v>
      </c>
    </row>
    <row r="401" spans="1:17" x14ac:dyDescent="0.3">
      <c r="A401" t="s">
        <v>429</v>
      </c>
      <c r="B401" t="s">
        <v>32</v>
      </c>
      <c r="C401" s="1">
        <v>45244</v>
      </c>
      <c r="D401" s="1">
        <v>45261</v>
      </c>
      <c r="E401" t="s">
        <v>16</v>
      </c>
      <c r="F401">
        <v>17</v>
      </c>
      <c r="G401" t="s">
        <v>21</v>
      </c>
      <c r="H401">
        <v>1585</v>
      </c>
      <c r="I401">
        <v>56.38</v>
      </c>
      <c r="J401">
        <v>53.05</v>
      </c>
      <c r="K401">
        <v>89362.3</v>
      </c>
      <c r="L401">
        <v>84084.25</v>
      </c>
      <c r="M401">
        <v>5.9063497694217801E-2</v>
      </c>
      <c r="N401">
        <v>0</v>
      </c>
      <c r="O401" t="s">
        <v>18</v>
      </c>
      <c r="P401">
        <v>0</v>
      </c>
      <c r="Q401">
        <v>5278.05</v>
      </c>
    </row>
    <row r="402" spans="1:17" x14ac:dyDescent="0.3">
      <c r="A402" t="s">
        <v>430</v>
      </c>
      <c r="B402" t="s">
        <v>32</v>
      </c>
      <c r="C402" s="1">
        <v>44667</v>
      </c>
      <c r="D402" s="1">
        <v>44678</v>
      </c>
      <c r="E402" t="s">
        <v>42</v>
      </c>
      <c r="F402">
        <v>11</v>
      </c>
      <c r="G402" t="s">
        <v>21</v>
      </c>
      <c r="H402">
        <v>66</v>
      </c>
      <c r="I402">
        <v>58.05</v>
      </c>
      <c r="J402">
        <v>50.76</v>
      </c>
      <c r="K402">
        <v>3831.3</v>
      </c>
      <c r="L402">
        <v>3350.16</v>
      </c>
      <c r="M402">
        <v>0.125581395348837</v>
      </c>
      <c r="N402">
        <v>0</v>
      </c>
      <c r="O402" t="s">
        <v>18</v>
      </c>
      <c r="P402">
        <v>0</v>
      </c>
      <c r="Q402">
        <v>481.14</v>
      </c>
    </row>
    <row r="403" spans="1:17" x14ac:dyDescent="0.3">
      <c r="A403" t="s">
        <v>431</v>
      </c>
      <c r="B403" t="s">
        <v>26</v>
      </c>
      <c r="C403" s="1">
        <v>44924</v>
      </c>
      <c r="D403" s="1">
        <v>44944</v>
      </c>
      <c r="E403" t="s">
        <v>24</v>
      </c>
      <c r="F403">
        <v>20</v>
      </c>
      <c r="G403" t="s">
        <v>21</v>
      </c>
      <c r="H403">
        <v>1245</v>
      </c>
      <c r="I403">
        <v>52.4</v>
      </c>
      <c r="J403">
        <v>51.65</v>
      </c>
      <c r="K403">
        <v>65238</v>
      </c>
      <c r="L403">
        <v>64304.25</v>
      </c>
      <c r="M403">
        <v>1.4312977099236599E-2</v>
      </c>
      <c r="N403">
        <v>118</v>
      </c>
      <c r="O403" t="s">
        <v>30</v>
      </c>
      <c r="P403">
        <v>9.47791164658634E-2</v>
      </c>
      <c r="Q403">
        <v>933.75</v>
      </c>
    </row>
    <row r="404" spans="1:17" x14ac:dyDescent="0.3">
      <c r="A404" t="s">
        <v>432</v>
      </c>
      <c r="B404" t="s">
        <v>20</v>
      </c>
      <c r="C404" s="1">
        <v>45135</v>
      </c>
      <c r="D404" s="1">
        <v>45148</v>
      </c>
      <c r="E404" t="s">
        <v>42</v>
      </c>
      <c r="F404">
        <v>13</v>
      </c>
      <c r="G404" t="s">
        <v>21</v>
      </c>
      <c r="H404">
        <v>1293</v>
      </c>
      <c r="I404">
        <v>50.21</v>
      </c>
      <c r="J404">
        <v>47.55</v>
      </c>
      <c r="K404">
        <v>64921.53</v>
      </c>
      <c r="L404">
        <v>61482.15</v>
      </c>
      <c r="M404">
        <v>5.2977494523003502E-2</v>
      </c>
      <c r="N404">
        <v>0</v>
      </c>
      <c r="O404" t="s">
        <v>30</v>
      </c>
      <c r="P404">
        <v>0</v>
      </c>
      <c r="Q404">
        <v>3439.38</v>
      </c>
    </row>
    <row r="405" spans="1:17" x14ac:dyDescent="0.3">
      <c r="A405" t="s">
        <v>433</v>
      </c>
      <c r="B405" t="s">
        <v>26</v>
      </c>
      <c r="C405" s="1">
        <v>44978</v>
      </c>
      <c r="D405" s="1">
        <v>44984</v>
      </c>
      <c r="E405" t="s">
        <v>27</v>
      </c>
      <c r="F405">
        <v>6</v>
      </c>
      <c r="G405" t="s">
        <v>21</v>
      </c>
      <c r="H405">
        <v>207</v>
      </c>
      <c r="I405">
        <v>64.290000000000006</v>
      </c>
      <c r="J405">
        <v>63.01</v>
      </c>
      <c r="K405">
        <v>13308.03</v>
      </c>
      <c r="L405">
        <v>13043.07</v>
      </c>
      <c r="M405">
        <v>1.9909783792191701E-2</v>
      </c>
      <c r="N405">
        <v>25</v>
      </c>
      <c r="O405" t="s">
        <v>18</v>
      </c>
      <c r="P405">
        <v>0.120772946859903</v>
      </c>
      <c r="Q405">
        <v>264.95999999999998</v>
      </c>
    </row>
    <row r="406" spans="1:17" x14ac:dyDescent="0.3">
      <c r="A406" t="s">
        <v>434</v>
      </c>
      <c r="B406" t="s">
        <v>26</v>
      </c>
      <c r="C406" s="1">
        <v>45197</v>
      </c>
      <c r="D406" s="1">
        <v>45217</v>
      </c>
      <c r="E406" t="s">
        <v>16</v>
      </c>
      <c r="F406">
        <v>20</v>
      </c>
      <c r="G406" t="s">
        <v>21</v>
      </c>
      <c r="H406">
        <v>526</v>
      </c>
      <c r="I406">
        <v>26.37</v>
      </c>
      <c r="J406">
        <v>25.32</v>
      </c>
      <c r="K406">
        <v>13870.62</v>
      </c>
      <c r="L406">
        <v>13318.32</v>
      </c>
      <c r="M406">
        <v>3.9817974971558701E-2</v>
      </c>
      <c r="N406">
        <v>47</v>
      </c>
      <c r="O406" t="s">
        <v>18</v>
      </c>
      <c r="P406">
        <v>8.9353612167300395E-2</v>
      </c>
      <c r="Q406">
        <v>552.29999999999995</v>
      </c>
    </row>
    <row r="407" spans="1:17" x14ac:dyDescent="0.3">
      <c r="A407" t="s">
        <v>435</v>
      </c>
      <c r="B407" t="s">
        <v>23</v>
      </c>
      <c r="C407" s="1">
        <v>44720</v>
      </c>
      <c r="D407" s="1">
        <v>44726</v>
      </c>
      <c r="E407" t="s">
        <v>42</v>
      </c>
      <c r="F407">
        <v>6</v>
      </c>
      <c r="G407" t="s">
        <v>21</v>
      </c>
      <c r="H407">
        <v>1119</v>
      </c>
      <c r="I407">
        <v>27.03</v>
      </c>
      <c r="J407">
        <v>23.82</v>
      </c>
      <c r="K407">
        <v>30246.57</v>
      </c>
      <c r="L407">
        <v>26654.58</v>
      </c>
      <c r="M407">
        <v>0.118756936736959</v>
      </c>
      <c r="N407">
        <v>0</v>
      </c>
      <c r="O407" t="s">
        <v>18</v>
      </c>
      <c r="P407">
        <v>0</v>
      </c>
      <c r="Q407">
        <v>3591.99</v>
      </c>
    </row>
    <row r="408" spans="1:17" x14ac:dyDescent="0.3">
      <c r="A408" t="s">
        <v>436</v>
      </c>
      <c r="B408" t="s">
        <v>23</v>
      </c>
      <c r="C408" s="1">
        <v>44804</v>
      </c>
      <c r="D408" s="1">
        <v>44806</v>
      </c>
      <c r="E408" t="s">
        <v>27</v>
      </c>
      <c r="F408">
        <v>2</v>
      </c>
      <c r="G408" t="s">
        <v>21</v>
      </c>
      <c r="H408">
        <v>1446</v>
      </c>
      <c r="I408">
        <v>90.63</v>
      </c>
      <c r="J408">
        <v>84.51</v>
      </c>
      <c r="K408">
        <v>131050.98</v>
      </c>
      <c r="L408">
        <v>122201.46</v>
      </c>
      <c r="M408">
        <v>6.7527308838133002E-2</v>
      </c>
      <c r="N408">
        <v>77</v>
      </c>
      <c r="O408" t="s">
        <v>18</v>
      </c>
      <c r="P408">
        <v>5.3250345781466098E-2</v>
      </c>
      <c r="Q408">
        <v>8849.52</v>
      </c>
    </row>
    <row r="409" spans="1:17" x14ac:dyDescent="0.3">
      <c r="A409" t="s">
        <v>437</v>
      </c>
      <c r="B409" t="s">
        <v>23</v>
      </c>
      <c r="C409" s="1">
        <v>44728</v>
      </c>
      <c r="D409" s="1">
        <v>44736</v>
      </c>
      <c r="E409" t="s">
        <v>16</v>
      </c>
      <c r="F409">
        <v>8</v>
      </c>
      <c r="G409" t="s">
        <v>21</v>
      </c>
      <c r="H409">
        <v>567</v>
      </c>
      <c r="I409">
        <v>97.53</v>
      </c>
      <c r="J409">
        <v>85.29</v>
      </c>
      <c r="K409">
        <v>55299.51</v>
      </c>
      <c r="L409">
        <v>48359.43</v>
      </c>
      <c r="M409">
        <v>0.125499846201169</v>
      </c>
      <c r="N409">
        <v>21</v>
      </c>
      <c r="O409" t="s">
        <v>18</v>
      </c>
      <c r="P409">
        <v>3.7037037037037E-2</v>
      </c>
      <c r="Q409">
        <v>6940.08</v>
      </c>
    </row>
    <row r="410" spans="1:17" x14ac:dyDescent="0.3">
      <c r="A410" t="s">
        <v>438</v>
      </c>
      <c r="B410" t="s">
        <v>26</v>
      </c>
      <c r="C410" s="1">
        <v>44984</v>
      </c>
      <c r="D410" s="1">
        <v>44999</v>
      </c>
      <c r="E410" t="s">
        <v>24</v>
      </c>
      <c r="F410">
        <v>15</v>
      </c>
      <c r="G410" t="s">
        <v>38</v>
      </c>
      <c r="H410">
        <v>1965</v>
      </c>
      <c r="I410">
        <v>36.6</v>
      </c>
      <c r="J410">
        <v>34.64</v>
      </c>
      <c r="K410">
        <v>71919</v>
      </c>
      <c r="L410">
        <v>68067.600000000006</v>
      </c>
      <c r="M410">
        <v>5.3551912568305902E-2</v>
      </c>
      <c r="N410">
        <v>195</v>
      </c>
      <c r="O410" t="s">
        <v>18</v>
      </c>
      <c r="P410">
        <v>9.9236641221374003E-2</v>
      </c>
      <c r="Q410">
        <v>3851.4</v>
      </c>
    </row>
    <row r="411" spans="1:17" x14ac:dyDescent="0.3">
      <c r="A411" t="s">
        <v>439</v>
      </c>
      <c r="B411" t="s">
        <v>15</v>
      </c>
      <c r="C411" s="1">
        <v>44587</v>
      </c>
      <c r="D411" s="1">
        <v>44595</v>
      </c>
      <c r="E411" t="s">
        <v>16</v>
      </c>
      <c r="F411">
        <v>8</v>
      </c>
      <c r="G411" t="s">
        <v>38</v>
      </c>
      <c r="H411">
        <v>1818</v>
      </c>
      <c r="I411">
        <v>67.959999999999994</v>
      </c>
      <c r="J411">
        <v>58.98</v>
      </c>
      <c r="K411">
        <v>123551.28</v>
      </c>
      <c r="L411">
        <v>107225.64</v>
      </c>
      <c r="M411">
        <v>0.132136550912301</v>
      </c>
      <c r="N411">
        <v>0</v>
      </c>
      <c r="O411" t="s">
        <v>18</v>
      </c>
      <c r="P411">
        <v>0</v>
      </c>
      <c r="Q411">
        <v>16325.64</v>
      </c>
    </row>
    <row r="412" spans="1:17" x14ac:dyDescent="0.3">
      <c r="A412" t="s">
        <v>440</v>
      </c>
      <c r="B412" t="s">
        <v>26</v>
      </c>
      <c r="C412" s="1">
        <v>44745</v>
      </c>
      <c r="D412" s="1">
        <v>44761</v>
      </c>
      <c r="E412" t="s">
        <v>24</v>
      </c>
      <c r="F412">
        <v>16</v>
      </c>
      <c r="G412" t="s">
        <v>21</v>
      </c>
      <c r="H412">
        <v>1110</v>
      </c>
      <c r="I412">
        <v>48.19</v>
      </c>
      <c r="J412">
        <v>45.88</v>
      </c>
      <c r="K412">
        <v>53490.9</v>
      </c>
      <c r="L412">
        <v>50926.8</v>
      </c>
      <c r="M412">
        <v>4.7935256277235799E-2</v>
      </c>
      <c r="N412">
        <v>112</v>
      </c>
      <c r="O412" t="s">
        <v>18</v>
      </c>
      <c r="P412">
        <v>0.10090090090090099</v>
      </c>
      <c r="Q412">
        <v>2564.1</v>
      </c>
    </row>
    <row r="413" spans="1:17" x14ac:dyDescent="0.3">
      <c r="A413" t="s">
        <v>441</v>
      </c>
      <c r="B413" t="s">
        <v>23</v>
      </c>
      <c r="C413" s="1">
        <v>44983</v>
      </c>
      <c r="D413" s="1">
        <v>45002</v>
      </c>
      <c r="E413" t="s">
        <v>16</v>
      </c>
      <c r="F413">
        <v>19</v>
      </c>
      <c r="G413" t="s">
        <v>17</v>
      </c>
      <c r="H413">
        <v>1422</v>
      </c>
      <c r="I413">
        <v>25.62</v>
      </c>
      <c r="J413">
        <v>25.18</v>
      </c>
      <c r="K413">
        <v>36431.64</v>
      </c>
      <c r="L413">
        <v>35805.96</v>
      </c>
      <c r="M413">
        <v>1.71740827478532E-2</v>
      </c>
      <c r="N413">
        <v>65</v>
      </c>
      <c r="O413" t="s">
        <v>18</v>
      </c>
      <c r="P413">
        <v>4.57102672292546E-2</v>
      </c>
      <c r="Q413">
        <v>625.67999999999995</v>
      </c>
    </row>
    <row r="414" spans="1:17" x14ac:dyDescent="0.3">
      <c r="A414" t="s">
        <v>442</v>
      </c>
      <c r="B414" t="s">
        <v>23</v>
      </c>
      <c r="C414" s="1">
        <v>44816</v>
      </c>
      <c r="D414" s="1">
        <v>44826</v>
      </c>
      <c r="E414" t="s">
        <v>16</v>
      </c>
      <c r="F414">
        <v>10</v>
      </c>
      <c r="G414" t="s">
        <v>36</v>
      </c>
      <c r="H414">
        <v>351</v>
      </c>
      <c r="I414">
        <v>72.08</v>
      </c>
      <c r="J414">
        <v>71.3</v>
      </c>
      <c r="K414">
        <v>25300.080000000002</v>
      </c>
      <c r="L414">
        <v>25026.3</v>
      </c>
      <c r="M414">
        <v>1.08213096559378E-2</v>
      </c>
      <c r="N414">
        <v>20</v>
      </c>
      <c r="O414" t="s">
        <v>18</v>
      </c>
      <c r="P414">
        <v>5.6980056980057002E-2</v>
      </c>
      <c r="Q414">
        <v>273.77999999999997</v>
      </c>
    </row>
    <row r="415" spans="1:17" x14ac:dyDescent="0.3">
      <c r="A415" t="s">
        <v>443</v>
      </c>
      <c r="B415" t="s">
        <v>20</v>
      </c>
      <c r="C415" s="1">
        <v>44835</v>
      </c>
      <c r="D415" s="1">
        <v>44852</v>
      </c>
      <c r="E415" t="s">
        <v>29</v>
      </c>
      <c r="F415">
        <v>17</v>
      </c>
      <c r="G415" t="s">
        <v>36</v>
      </c>
      <c r="H415">
        <v>230</v>
      </c>
      <c r="I415">
        <v>13</v>
      </c>
      <c r="J415">
        <v>12.81</v>
      </c>
      <c r="K415">
        <v>2990</v>
      </c>
      <c r="L415">
        <v>2946.3</v>
      </c>
      <c r="M415">
        <v>1.46153846153846E-2</v>
      </c>
      <c r="N415">
        <v>0</v>
      </c>
      <c r="O415" t="s">
        <v>30</v>
      </c>
      <c r="P415">
        <v>0</v>
      </c>
      <c r="Q415">
        <v>43.7</v>
      </c>
    </row>
    <row r="416" spans="1:17" x14ac:dyDescent="0.3">
      <c r="A416" t="s">
        <v>444</v>
      </c>
      <c r="B416" t="s">
        <v>15</v>
      </c>
      <c r="C416" s="1">
        <v>44725</v>
      </c>
      <c r="D416" s="1">
        <v>44731</v>
      </c>
      <c r="E416" t="s">
        <v>24</v>
      </c>
      <c r="F416">
        <v>6</v>
      </c>
      <c r="G416" t="s">
        <v>21</v>
      </c>
      <c r="H416">
        <v>656</v>
      </c>
      <c r="I416">
        <v>30.73</v>
      </c>
      <c r="J416">
        <v>26.26</v>
      </c>
      <c r="K416">
        <v>20158.88</v>
      </c>
      <c r="L416">
        <v>17226.560000000001</v>
      </c>
      <c r="M416">
        <v>0.14546046208916399</v>
      </c>
      <c r="N416">
        <v>17</v>
      </c>
      <c r="O416" t="s">
        <v>18</v>
      </c>
      <c r="P416">
        <v>2.59146341463415E-2</v>
      </c>
      <c r="Q416">
        <v>2932.32</v>
      </c>
    </row>
    <row r="417" spans="1:17" x14ac:dyDescent="0.3">
      <c r="A417" t="s">
        <v>445</v>
      </c>
      <c r="B417" t="s">
        <v>23</v>
      </c>
      <c r="C417" s="1">
        <v>45280</v>
      </c>
      <c r="D417" s="1">
        <v>45300</v>
      </c>
      <c r="E417" t="s">
        <v>24</v>
      </c>
      <c r="F417">
        <v>20</v>
      </c>
      <c r="G417" t="s">
        <v>21</v>
      </c>
      <c r="H417">
        <v>1172</v>
      </c>
      <c r="I417">
        <v>34.340000000000003</v>
      </c>
      <c r="J417">
        <v>32.090000000000003</v>
      </c>
      <c r="K417">
        <v>40246.480000000003</v>
      </c>
      <c r="L417">
        <v>37609.480000000003</v>
      </c>
      <c r="M417">
        <v>6.5521258008153796E-2</v>
      </c>
      <c r="N417">
        <v>69</v>
      </c>
      <c r="O417" t="s">
        <v>18</v>
      </c>
      <c r="P417">
        <v>5.8873720136518801E-2</v>
      </c>
      <c r="Q417">
        <v>2637</v>
      </c>
    </row>
    <row r="418" spans="1:17" x14ac:dyDescent="0.3">
      <c r="A418" t="s">
        <v>446</v>
      </c>
      <c r="B418" t="s">
        <v>23</v>
      </c>
      <c r="C418" s="1">
        <v>44672</v>
      </c>
      <c r="D418" s="1">
        <v>44681</v>
      </c>
      <c r="E418" t="s">
        <v>42</v>
      </c>
      <c r="F418">
        <v>9</v>
      </c>
      <c r="G418" t="s">
        <v>21</v>
      </c>
      <c r="H418">
        <v>749</v>
      </c>
      <c r="I418">
        <v>71.53</v>
      </c>
      <c r="J418">
        <v>70.02</v>
      </c>
      <c r="K418">
        <v>53575.97</v>
      </c>
      <c r="L418">
        <v>52444.98</v>
      </c>
      <c r="M418">
        <v>2.1110023766252001E-2</v>
      </c>
      <c r="N418">
        <v>41</v>
      </c>
      <c r="O418" t="s">
        <v>18</v>
      </c>
      <c r="P418">
        <v>5.4739652870494003E-2</v>
      </c>
      <c r="Q418">
        <v>1130.99</v>
      </c>
    </row>
    <row r="419" spans="1:17" x14ac:dyDescent="0.3">
      <c r="A419" t="s">
        <v>447</v>
      </c>
      <c r="B419" t="s">
        <v>26</v>
      </c>
      <c r="C419" s="1">
        <v>44953</v>
      </c>
      <c r="D419" s="1">
        <v>44969</v>
      </c>
      <c r="E419" t="s">
        <v>27</v>
      </c>
      <c r="F419">
        <v>16</v>
      </c>
      <c r="G419" t="s">
        <v>21</v>
      </c>
      <c r="H419">
        <v>1042</v>
      </c>
      <c r="I419">
        <v>12.48</v>
      </c>
      <c r="J419">
        <v>12.3</v>
      </c>
      <c r="K419">
        <v>13004.16</v>
      </c>
      <c r="L419">
        <v>12816.6</v>
      </c>
      <c r="M419">
        <v>1.44230769230769E-2</v>
      </c>
      <c r="N419">
        <v>88</v>
      </c>
      <c r="O419" t="s">
        <v>18</v>
      </c>
      <c r="P419">
        <v>8.4452975047984602E-2</v>
      </c>
      <c r="Q419">
        <v>187.56</v>
      </c>
    </row>
    <row r="420" spans="1:17" x14ac:dyDescent="0.3">
      <c r="A420" t="s">
        <v>448</v>
      </c>
      <c r="B420" t="s">
        <v>20</v>
      </c>
      <c r="C420" s="1">
        <v>44601</v>
      </c>
      <c r="D420" s="1">
        <v>44619</v>
      </c>
      <c r="E420" t="s">
        <v>29</v>
      </c>
      <c r="F420">
        <v>18</v>
      </c>
      <c r="G420" t="s">
        <v>21</v>
      </c>
      <c r="H420">
        <v>1189</v>
      </c>
      <c r="I420">
        <v>19.47</v>
      </c>
      <c r="J420">
        <v>17.149999999999999</v>
      </c>
      <c r="K420">
        <v>23149.83</v>
      </c>
      <c r="L420">
        <v>20391.349999999999</v>
      </c>
      <c r="M420">
        <v>0.119157678479712</v>
      </c>
      <c r="N420">
        <v>0</v>
      </c>
      <c r="O420" t="s">
        <v>30</v>
      </c>
      <c r="P420">
        <v>0</v>
      </c>
      <c r="Q420">
        <v>2758.48</v>
      </c>
    </row>
    <row r="421" spans="1:17" x14ac:dyDescent="0.3">
      <c r="A421" t="s">
        <v>449</v>
      </c>
      <c r="B421" t="s">
        <v>32</v>
      </c>
      <c r="C421" s="1">
        <v>44789</v>
      </c>
      <c r="D421" s="1">
        <v>44806</v>
      </c>
      <c r="E421" t="s">
        <v>24</v>
      </c>
      <c r="F421">
        <v>17</v>
      </c>
      <c r="G421" t="s">
        <v>21</v>
      </c>
      <c r="H421">
        <v>302</v>
      </c>
      <c r="I421">
        <v>26.98</v>
      </c>
      <c r="J421">
        <v>26.47</v>
      </c>
      <c r="K421">
        <v>8147.96</v>
      </c>
      <c r="L421">
        <v>7993.94</v>
      </c>
      <c r="M421">
        <v>1.8902891030392902E-2</v>
      </c>
      <c r="N421">
        <v>9</v>
      </c>
      <c r="O421" t="s">
        <v>18</v>
      </c>
      <c r="P421">
        <v>2.9801324503311299E-2</v>
      </c>
      <c r="Q421">
        <v>154.02000000000001</v>
      </c>
    </row>
    <row r="422" spans="1:17" x14ac:dyDescent="0.3">
      <c r="A422" t="s">
        <v>450</v>
      </c>
      <c r="B422" t="s">
        <v>26</v>
      </c>
      <c r="C422" s="1">
        <v>44766</v>
      </c>
      <c r="D422" s="1">
        <v>44776</v>
      </c>
      <c r="E422" t="s">
        <v>24</v>
      </c>
      <c r="F422">
        <v>10</v>
      </c>
      <c r="G422" t="s">
        <v>38</v>
      </c>
      <c r="H422">
        <v>1030</v>
      </c>
      <c r="I422">
        <v>70.81</v>
      </c>
      <c r="J422">
        <v>61.58</v>
      </c>
      <c r="K422">
        <v>72934.3</v>
      </c>
      <c r="L422">
        <v>63427.4</v>
      </c>
      <c r="M422">
        <v>0.13034882078802401</v>
      </c>
      <c r="N422">
        <v>0</v>
      </c>
      <c r="O422" t="s">
        <v>30</v>
      </c>
      <c r="P422">
        <v>0</v>
      </c>
      <c r="Q422">
        <v>9506.9</v>
      </c>
    </row>
    <row r="423" spans="1:17" x14ac:dyDescent="0.3">
      <c r="A423" t="s">
        <v>451</v>
      </c>
      <c r="B423" t="s">
        <v>20</v>
      </c>
      <c r="C423" s="1">
        <v>45033</v>
      </c>
      <c r="D423" s="1">
        <v>45039</v>
      </c>
      <c r="E423" t="s">
        <v>16</v>
      </c>
      <c r="F423">
        <v>6</v>
      </c>
      <c r="G423" t="s">
        <v>21</v>
      </c>
      <c r="H423">
        <v>977</v>
      </c>
      <c r="I423">
        <v>33.79</v>
      </c>
      <c r="J423">
        <v>32.25</v>
      </c>
      <c r="K423">
        <v>33012.83</v>
      </c>
      <c r="L423">
        <v>31508.25</v>
      </c>
      <c r="M423">
        <v>4.5575614087007998E-2</v>
      </c>
      <c r="N423">
        <v>137</v>
      </c>
      <c r="O423" t="s">
        <v>18</v>
      </c>
      <c r="P423">
        <v>0.14022517911975399</v>
      </c>
      <c r="Q423">
        <v>1504.58</v>
      </c>
    </row>
    <row r="424" spans="1:17" x14ac:dyDescent="0.3">
      <c r="A424" t="s">
        <v>452</v>
      </c>
      <c r="B424" t="s">
        <v>15</v>
      </c>
      <c r="C424" s="1">
        <v>44920</v>
      </c>
      <c r="D424" s="1">
        <v>44937</v>
      </c>
      <c r="E424" t="s">
        <v>27</v>
      </c>
      <c r="F424">
        <v>17</v>
      </c>
      <c r="G424" t="s">
        <v>21</v>
      </c>
      <c r="H424">
        <v>1234</v>
      </c>
      <c r="I424">
        <v>19.989999999999998</v>
      </c>
      <c r="J424">
        <v>17.66</v>
      </c>
      <c r="K424">
        <v>24667.66</v>
      </c>
      <c r="L424">
        <v>21792.44</v>
      </c>
      <c r="M424">
        <v>0.11655827913957</v>
      </c>
      <c r="N424">
        <v>25</v>
      </c>
      <c r="O424" t="s">
        <v>18</v>
      </c>
      <c r="P424">
        <v>2.0259319286872E-2</v>
      </c>
      <c r="Q424">
        <v>2875.22</v>
      </c>
    </row>
    <row r="425" spans="1:17" x14ac:dyDescent="0.3">
      <c r="A425" t="s">
        <v>453</v>
      </c>
      <c r="B425" t="s">
        <v>26</v>
      </c>
      <c r="C425" s="1">
        <v>44874</v>
      </c>
      <c r="D425" s="1">
        <v>44888</v>
      </c>
      <c r="E425" t="s">
        <v>16</v>
      </c>
      <c r="F425">
        <v>14</v>
      </c>
      <c r="G425" t="s">
        <v>21</v>
      </c>
      <c r="H425">
        <v>1329</v>
      </c>
      <c r="I425">
        <v>33.479999999999997</v>
      </c>
      <c r="J425">
        <v>33.06</v>
      </c>
      <c r="K425">
        <v>44494.92</v>
      </c>
      <c r="L425">
        <v>43936.74</v>
      </c>
      <c r="M425">
        <v>1.25448028673834E-2</v>
      </c>
      <c r="N425">
        <v>146</v>
      </c>
      <c r="O425" t="s">
        <v>18</v>
      </c>
      <c r="P425">
        <v>0.109857035364936</v>
      </c>
      <c r="Q425">
        <v>558.17999999999995</v>
      </c>
    </row>
    <row r="426" spans="1:17" x14ac:dyDescent="0.3">
      <c r="A426" t="s">
        <v>454</v>
      </c>
      <c r="B426" t="s">
        <v>23</v>
      </c>
      <c r="C426" s="1">
        <v>44795</v>
      </c>
      <c r="D426" s="1">
        <v>44803</v>
      </c>
      <c r="E426" t="s">
        <v>29</v>
      </c>
      <c r="F426">
        <v>8</v>
      </c>
      <c r="G426" t="s">
        <v>21</v>
      </c>
      <c r="H426">
        <v>1396</v>
      </c>
      <c r="I426">
        <v>77.63</v>
      </c>
      <c r="J426">
        <v>67.81</v>
      </c>
      <c r="K426">
        <v>108371.48</v>
      </c>
      <c r="L426">
        <v>94662.76</v>
      </c>
      <c r="M426">
        <v>0.12649748808450301</v>
      </c>
      <c r="N426">
        <v>58</v>
      </c>
      <c r="O426" t="s">
        <v>18</v>
      </c>
      <c r="P426">
        <v>4.15472779369628E-2</v>
      </c>
      <c r="Q426">
        <v>13708.72</v>
      </c>
    </row>
    <row r="427" spans="1:17" x14ac:dyDescent="0.3">
      <c r="A427" t="s">
        <v>455</v>
      </c>
      <c r="B427" t="s">
        <v>15</v>
      </c>
      <c r="C427" s="1">
        <v>44790</v>
      </c>
      <c r="D427" s="1">
        <v>44802</v>
      </c>
      <c r="E427" t="s">
        <v>29</v>
      </c>
      <c r="F427">
        <v>12</v>
      </c>
      <c r="G427" t="s">
        <v>21</v>
      </c>
      <c r="H427">
        <v>177</v>
      </c>
      <c r="I427">
        <v>90.06</v>
      </c>
      <c r="J427">
        <v>87.71</v>
      </c>
      <c r="K427">
        <v>15940.62</v>
      </c>
      <c r="L427">
        <v>15524.67</v>
      </c>
      <c r="M427">
        <v>2.6093715300910699E-2</v>
      </c>
      <c r="N427">
        <v>7</v>
      </c>
      <c r="O427" t="s">
        <v>18</v>
      </c>
      <c r="P427">
        <v>3.9548022598870101E-2</v>
      </c>
      <c r="Q427">
        <v>415.95</v>
      </c>
    </row>
    <row r="428" spans="1:17" x14ac:dyDescent="0.3">
      <c r="A428" t="s">
        <v>456</v>
      </c>
      <c r="B428" t="s">
        <v>23</v>
      </c>
      <c r="C428" s="1">
        <v>45237</v>
      </c>
      <c r="D428" s="1">
        <v>45250</v>
      </c>
      <c r="E428" t="s">
        <v>16</v>
      </c>
      <c r="F428">
        <v>13</v>
      </c>
      <c r="G428" t="s">
        <v>21</v>
      </c>
      <c r="H428">
        <v>1866</v>
      </c>
      <c r="I428">
        <v>50.78</v>
      </c>
      <c r="J428">
        <v>48.2</v>
      </c>
      <c r="K428">
        <v>94755.48</v>
      </c>
      <c r="L428">
        <v>89941.2</v>
      </c>
      <c r="M428">
        <v>5.0807404489956499E-2</v>
      </c>
      <c r="N428">
        <v>96</v>
      </c>
      <c r="O428" t="s">
        <v>18</v>
      </c>
      <c r="P428">
        <v>5.1446945337620599E-2</v>
      </c>
      <c r="Q428">
        <v>4814.28</v>
      </c>
    </row>
    <row r="429" spans="1:17" x14ac:dyDescent="0.3">
      <c r="A429" t="s">
        <v>457</v>
      </c>
      <c r="B429" t="s">
        <v>32</v>
      </c>
      <c r="C429" s="1">
        <v>44759</v>
      </c>
      <c r="D429" s="1">
        <v>44767</v>
      </c>
      <c r="E429" t="s">
        <v>24</v>
      </c>
      <c r="F429">
        <v>8</v>
      </c>
      <c r="G429" t="s">
        <v>21</v>
      </c>
      <c r="H429">
        <v>1808</v>
      </c>
      <c r="I429">
        <v>72.23</v>
      </c>
      <c r="J429">
        <v>67.86</v>
      </c>
      <c r="K429">
        <v>130591.84</v>
      </c>
      <c r="L429">
        <v>122690.88</v>
      </c>
      <c r="M429">
        <v>6.0501176796345001E-2</v>
      </c>
      <c r="N429">
        <v>53</v>
      </c>
      <c r="O429" t="s">
        <v>18</v>
      </c>
      <c r="P429">
        <v>2.9314159292035399E-2</v>
      </c>
      <c r="Q429">
        <v>7900.96</v>
      </c>
    </row>
    <row r="430" spans="1:17" x14ac:dyDescent="0.3">
      <c r="A430" t="s">
        <v>458</v>
      </c>
      <c r="B430" t="s">
        <v>20</v>
      </c>
      <c r="C430" s="1">
        <v>44970</v>
      </c>
      <c r="D430" s="1">
        <v>44973</v>
      </c>
      <c r="E430" t="s">
        <v>42</v>
      </c>
      <c r="F430">
        <v>3</v>
      </c>
      <c r="G430" t="s">
        <v>17</v>
      </c>
      <c r="H430">
        <v>615</v>
      </c>
      <c r="I430">
        <v>30.3</v>
      </c>
      <c r="J430">
        <v>29.52</v>
      </c>
      <c r="K430">
        <v>18634.5</v>
      </c>
      <c r="L430">
        <v>18154.8</v>
      </c>
      <c r="M430">
        <v>2.57425742574258E-2</v>
      </c>
      <c r="N430">
        <v>96</v>
      </c>
      <c r="O430" t="s">
        <v>18</v>
      </c>
      <c r="P430">
        <v>0.15609756097561001</v>
      </c>
      <c r="Q430">
        <v>479.7</v>
      </c>
    </row>
    <row r="431" spans="1:17" x14ac:dyDescent="0.3">
      <c r="A431" t="s">
        <v>459</v>
      </c>
      <c r="B431" t="s">
        <v>23</v>
      </c>
      <c r="C431" s="1">
        <v>44898</v>
      </c>
      <c r="D431" s="1">
        <v>44899</v>
      </c>
      <c r="E431" t="s">
        <v>16</v>
      </c>
      <c r="F431">
        <v>1</v>
      </c>
      <c r="G431" t="s">
        <v>38</v>
      </c>
      <c r="H431">
        <v>619</v>
      </c>
      <c r="I431">
        <v>38.380000000000003</v>
      </c>
      <c r="J431">
        <v>35.020000000000003</v>
      </c>
      <c r="K431">
        <v>23757.22</v>
      </c>
      <c r="L431">
        <v>21677.38</v>
      </c>
      <c r="M431">
        <v>8.7545596664929601E-2</v>
      </c>
      <c r="N431">
        <v>34</v>
      </c>
      <c r="O431" t="s">
        <v>18</v>
      </c>
      <c r="P431">
        <v>5.4927302100161599E-2</v>
      </c>
      <c r="Q431">
        <v>2079.84</v>
      </c>
    </row>
    <row r="432" spans="1:17" x14ac:dyDescent="0.3">
      <c r="A432" t="s">
        <v>460</v>
      </c>
      <c r="B432" t="s">
        <v>20</v>
      </c>
      <c r="C432" s="1">
        <v>44847</v>
      </c>
      <c r="D432" s="1">
        <v>44851</v>
      </c>
      <c r="E432" t="s">
        <v>16</v>
      </c>
      <c r="F432">
        <v>4</v>
      </c>
      <c r="G432" t="s">
        <v>21</v>
      </c>
      <c r="H432">
        <v>1396</v>
      </c>
      <c r="I432">
        <v>94.75</v>
      </c>
      <c r="J432">
        <v>84.06</v>
      </c>
      <c r="K432">
        <v>132271</v>
      </c>
      <c r="L432">
        <v>117347.76</v>
      </c>
      <c r="M432">
        <v>0.112823218997361</v>
      </c>
      <c r="N432">
        <v>210</v>
      </c>
      <c r="O432" t="s">
        <v>18</v>
      </c>
      <c r="P432">
        <v>0.15042979942693399</v>
      </c>
      <c r="Q432">
        <v>14923.24</v>
      </c>
    </row>
    <row r="433" spans="1:17" x14ac:dyDescent="0.3">
      <c r="A433" t="s">
        <v>461</v>
      </c>
      <c r="B433" t="s">
        <v>23</v>
      </c>
      <c r="C433" s="1">
        <v>44633</v>
      </c>
      <c r="D433" s="1">
        <v>44644</v>
      </c>
      <c r="E433" t="s">
        <v>24</v>
      </c>
      <c r="F433">
        <v>11</v>
      </c>
      <c r="G433" t="s">
        <v>21</v>
      </c>
      <c r="H433">
        <v>1945</v>
      </c>
      <c r="I433">
        <v>11.28</v>
      </c>
      <c r="J433">
        <v>9.98</v>
      </c>
      <c r="K433">
        <v>21939.599999999999</v>
      </c>
      <c r="L433">
        <v>19411.099999999999</v>
      </c>
      <c r="M433">
        <v>0.115248226950354</v>
      </c>
      <c r="N433">
        <v>94</v>
      </c>
      <c r="O433" t="s">
        <v>18</v>
      </c>
      <c r="P433">
        <v>4.83290488431877E-2</v>
      </c>
      <c r="Q433">
        <v>2528.5</v>
      </c>
    </row>
    <row r="434" spans="1:17" x14ac:dyDescent="0.3">
      <c r="A434" t="s">
        <v>462</v>
      </c>
      <c r="B434" t="s">
        <v>20</v>
      </c>
      <c r="C434" s="1">
        <v>44847</v>
      </c>
      <c r="D434" s="1">
        <v>44852</v>
      </c>
      <c r="E434" t="s">
        <v>27</v>
      </c>
      <c r="F434">
        <v>5</v>
      </c>
      <c r="G434" t="s">
        <v>21</v>
      </c>
      <c r="H434">
        <v>735</v>
      </c>
      <c r="I434">
        <v>18.489999999999998</v>
      </c>
      <c r="J434">
        <v>15.89</v>
      </c>
      <c r="K434">
        <v>13590.15</v>
      </c>
      <c r="L434">
        <v>11679.15</v>
      </c>
      <c r="M434">
        <v>0.140616549486209</v>
      </c>
      <c r="N434">
        <v>113</v>
      </c>
      <c r="O434" t="s">
        <v>30</v>
      </c>
      <c r="P434">
        <v>0.153741496598639</v>
      </c>
      <c r="Q434">
        <v>1911</v>
      </c>
    </row>
    <row r="435" spans="1:17" x14ac:dyDescent="0.3">
      <c r="A435" t="s">
        <v>463</v>
      </c>
      <c r="B435" t="s">
        <v>32</v>
      </c>
      <c r="C435" s="1">
        <v>44921</v>
      </c>
      <c r="D435" s="1">
        <v>44937</v>
      </c>
      <c r="E435" t="s">
        <v>16</v>
      </c>
      <c r="F435">
        <v>16</v>
      </c>
      <c r="G435" t="s">
        <v>38</v>
      </c>
      <c r="H435">
        <v>1865</v>
      </c>
      <c r="I435">
        <v>30.29</v>
      </c>
      <c r="J435">
        <v>26.83</v>
      </c>
      <c r="K435">
        <v>56490.85</v>
      </c>
      <c r="L435">
        <v>50037.95</v>
      </c>
      <c r="M435">
        <v>0.114229118520964</v>
      </c>
      <c r="N435">
        <v>56</v>
      </c>
      <c r="O435" t="s">
        <v>18</v>
      </c>
      <c r="P435">
        <v>3.0026809651474501E-2</v>
      </c>
      <c r="Q435">
        <v>6452.9</v>
      </c>
    </row>
    <row r="436" spans="1:17" x14ac:dyDescent="0.3">
      <c r="A436" t="s">
        <v>464</v>
      </c>
      <c r="B436" t="s">
        <v>26</v>
      </c>
      <c r="C436" s="1">
        <v>45218</v>
      </c>
      <c r="D436" s="1">
        <v>45223</v>
      </c>
      <c r="E436" t="s">
        <v>42</v>
      </c>
      <c r="F436">
        <v>5</v>
      </c>
      <c r="G436" t="s">
        <v>17</v>
      </c>
      <c r="H436">
        <v>675</v>
      </c>
      <c r="I436">
        <v>13.69</v>
      </c>
      <c r="J436">
        <v>11.84</v>
      </c>
      <c r="K436">
        <v>9240.75</v>
      </c>
      <c r="L436">
        <v>7992</v>
      </c>
      <c r="M436">
        <v>0.135135135135135</v>
      </c>
      <c r="N436">
        <v>52</v>
      </c>
      <c r="O436" t="s">
        <v>18</v>
      </c>
      <c r="P436">
        <v>7.7037037037037001E-2</v>
      </c>
      <c r="Q436">
        <v>1248.75</v>
      </c>
    </row>
    <row r="437" spans="1:17" x14ac:dyDescent="0.3">
      <c r="A437" t="s">
        <v>465</v>
      </c>
      <c r="B437" t="s">
        <v>23</v>
      </c>
      <c r="C437" s="1">
        <v>45083</v>
      </c>
      <c r="D437" s="1">
        <v>45099</v>
      </c>
      <c r="E437" t="s">
        <v>24</v>
      </c>
      <c r="F437">
        <v>16</v>
      </c>
      <c r="G437" t="s">
        <v>38</v>
      </c>
      <c r="H437">
        <v>1361</v>
      </c>
      <c r="I437">
        <v>28.57</v>
      </c>
      <c r="J437">
        <v>24.29</v>
      </c>
      <c r="K437">
        <v>38883.769999999997</v>
      </c>
      <c r="L437">
        <v>33058.69</v>
      </c>
      <c r="M437">
        <v>0.14980749037451899</v>
      </c>
      <c r="N437">
        <v>65</v>
      </c>
      <c r="O437" t="s">
        <v>18</v>
      </c>
      <c r="P437">
        <v>4.7759000734753899E-2</v>
      </c>
      <c r="Q437">
        <v>5825.08</v>
      </c>
    </row>
    <row r="438" spans="1:17" x14ac:dyDescent="0.3">
      <c r="A438" t="s">
        <v>466</v>
      </c>
      <c r="B438" t="s">
        <v>23</v>
      </c>
      <c r="C438" s="1">
        <v>44971</v>
      </c>
      <c r="D438" s="1">
        <v>44972</v>
      </c>
      <c r="E438" t="s">
        <v>29</v>
      </c>
      <c r="F438">
        <v>1</v>
      </c>
      <c r="G438" t="s">
        <v>21</v>
      </c>
      <c r="H438">
        <v>903</v>
      </c>
      <c r="I438">
        <v>66.53</v>
      </c>
      <c r="J438">
        <v>60.15</v>
      </c>
      <c r="K438">
        <v>60076.59</v>
      </c>
      <c r="L438">
        <v>54315.45</v>
      </c>
      <c r="M438">
        <v>9.5896588005411204E-2</v>
      </c>
      <c r="N438">
        <v>29</v>
      </c>
      <c r="O438" t="s">
        <v>18</v>
      </c>
      <c r="P438">
        <v>3.2115171650055403E-2</v>
      </c>
      <c r="Q438">
        <v>5761.14</v>
      </c>
    </row>
    <row r="439" spans="1:17" x14ac:dyDescent="0.3">
      <c r="A439" t="s">
        <v>467</v>
      </c>
      <c r="B439" t="s">
        <v>26</v>
      </c>
      <c r="C439" s="1">
        <v>45111</v>
      </c>
      <c r="D439" s="1">
        <v>45118</v>
      </c>
      <c r="E439" t="s">
        <v>24</v>
      </c>
      <c r="F439">
        <v>7</v>
      </c>
      <c r="G439" t="s">
        <v>21</v>
      </c>
      <c r="H439">
        <v>1011</v>
      </c>
      <c r="I439">
        <v>98.47</v>
      </c>
      <c r="J439">
        <v>97.06</v>
      </c>
      <c r="K439">
        <v>99553.17</v>
      </c>
      <c r="L439">
        <v>98127.66</v>
      </c>
      <c r="M439">
        <v>1.4319081953894501E-2</v>
      </c>
      <c r="N439">
        <v>91</v>
      </c>
      <c r="O439" t="s">
        <v>18</v>
      </c>
      <c r="P439">
        <v>9.0009891196834793E-2</v>
      </c>
      <c r="Q439">
        <v>1425.51</v>
      </c>
    </row>
    <row r="440" spans="1:17" x14ac:dyDescent="0.3">
      <c r="A440" t="s">
        <v>468</v>
      </c>
      <c r="B440" t="s">
        <v>20</v>
      </c>
      <c r="C440" s="1">
        <v>44901</v>
      </c>
      <c r="D440" s="1">
        <v>44919</v>
      </c>
      <c r="E440" t="s">
        <v>42</v>
      </c>
      <c r="F440">
        <v>18</v>
      </c>
      <c r="G440" t="s">
        <v>21</v>
      </c>
      <c r="H440">
        <v>1712</v>
      </c>
      <c r="I440">
        <v>88.17</v>
      </c>
      <c r="J440">
        <v>85.86</v>
      </c>
      <c r="K440">
        <v>150947.04</v>
      </c>
      <c r="L440">
        <v>146992.32000000001</v>
      </c>
      <c r="M440">
        <v>2.6199387546784601E-2</v>
      </c>
      <c r="N440">
        <v>246</v>
      </c>
      <c r="O440" t="s">
        <v>18</v>
      </c>
      <c r="P440">
        <v>0.14369158878504701</v>
      </c>
      <c r="Q440">
        <v>3954.72</v>
      </c>
    </row>
    <row r="441" spans="1:17" x14ac:dyDescent="0.3">
      <c r="A441" t="s">
        <v>469</v>
      </c>
      <c r="B441" t="s">
        <v>26</v>
      </c>
      <c r="C441" s="1">
        <v>44680</v>
      </c>
      <c r="D441" s="1">
        <v>44694</v>
      </c>
      <c r="E441" t="s">
        <v>42</v>
      </c>
      <c r="F441">
        <v>14</v>
      </c>
      <c r="G441" t="s">
        <v>36</v>
      </c>
      <c r="H441">
        <v>539</v>
      </c>
      <c r="I441">
        <v>33.85</v>
      </c>
      <c r="J441">
        <v>30.57</v>
      </c>
      <c r="K441">
        <v>18245.150000000001</v>
      </c>
      <c r="L441">
        <v>16477.23</v>
      </c>
      <c r="M441">
        <v>9.6898079763663297E-2</v>
      </c>
      <c r="N441">
        <v>34</v>
      </c>
      <c r="O441" t="s">
        <v>30</v>
      </c>
      <c r="P441">
        <v>6.3079777365491599E-2</v>
      </c>
      <c r="Q441">
        <v>1767.92</v>
      </c>
    </row>
    <row r="442" spans="1:17" x14ac:dyDescent="0.3">
      <c r="A442" t="s">
        <v>470</v>
      </c>
      <c r="B442" t="s">
        <v>20</v>
      </c>
      <c r="C442" s="1">
        <v>44829</v>
      </c>
      <c r="D442" s="1">
        <v>44839</v>
      </c>
      <c r="E442" t="s">
        <v>16</v>
      </c>
      <c r="F442">
        <v>10</v>
      </c>
      <c r="G442" t="s">
        <v>21</v>
      </c>
      <c r="H442">
        <v>1459</v>
      </c>
      <c r="I442">
        <v>45.94</v>
      </c>
      <c r="J442">
        <v>42.56</v>
      </c>
      <c r="K442">
        <v>67026.460000000006</v>
      </c>
      <c r="L442">
        <v>62095.040000000001</v>
      </c>
      <c r="M442">
        <v>7.3574227252938496E-2</v>
      </c>
      <c r="N442">
        <v>212</v>
      </c>
      <c r="O442" t="s">
        <v>30</v>
      </c>
      <c r="P442">
        <v>0.145305003427005</v>
      </c>
      <c r="Q442">
        <v>4931.42</v>
      </c>
    </row>
    <row r="443" spans="1:17" x14ac:dyDescent="0.3">
      <c r="A443" t="s">
        <v>471</v>
      </c>
      <c r="B443" t="s">
        <v>23</v>
      </c>
      <c r="C443" s="1">
        <v>44744</v>
      </c>
      <c r="D443" s="1">
        <v>44748</v>
      </c>
      <c r="E443" t="s">
        <v>24</v>
      </c>
      <c r="F443">
        <v>4</v>
      </c>
      <c r="G443" t="s">
        <v>21</v>
      </c>
      <c r="H443">
        <v>834</v>
      </c>
      <c r="I443">
        <v>65.02</v>
      </c>
      <c r="J443">
        <v>56.19</v>
      </c>
      <c r="K443">
        <v>54226.68</v>
      </c>
      <c r="L443">
        <v>46862.46</v>
      </c>
      <c r="M443">
        <v>0.135804367886804</v>
      </c>
      <c r="N443">
        <v>0</v>
      </c>
      <c r="O443" t="s">
        <v>18</v>
      </c>
      <c r="P443">
        <v>0</v>
      </c>
      <c r="Q443">
        <v>7364.22</v>
      </c>
    </row>
    <row r="444" spans="1:17" x14ac:dyDescent="0.3">
      <c r="A444" t="s">
        <v>472</v>
      </c>
      <c r="B444" t="s">
        <v>23</v>
      </c>
      <c r="C444" s="1">
        <v>45156</v>
      </c>
      <c r="D444" s="1">
        <v>45170</v>
      </c>
      <c r="E444" t="s">
        <v>27</v>
      </c>
      <c r="F444">
        <v>14</v>
      </c>
      <c r="G444" t="s">
        <v>36</v>
      </c>
      <c r="H444">
        <v>1177</v>
      </c>
      <c r="I444">
        <v>37.369999999999997</v>
      </c>
      <c r="J444">
        <v>34.270000000000003</v>
      </c>
      <c r="K444">
        <v>43984.49</v>
      </c>
      <c r="L444">
        <v>40335.79</v>
      </c>
      <c r="M444">
        <v>8.2954241370082907E-2</v>
      </c>
      <c r="N444">
        <v>60</v>
      </c>
      <c r="O444" t="s">
        <v>18</v>
      </c>
      <c r="P444">
        <v>5.0977060322854699E-2</v>
      </c>
      <c r="Q444">
        <v>3648.7</v>
      </c>
    </row>
    <row r="445" spans="1:17" x14ac:dyDescent="0.3">
      <c r="A445" t="s">
        <v>473</v>
      </c>
      <c r="B445" t="s">
        <v>20</v>
      </c>
      <c r="C445" s="1">
        <v>44833</v>
      </c>
      <c r="D445" s="1">
        <v>44853</v>
      </c>
      <c r="E445" t="s">
        <v>24</v>
      </c>
      <c r="F445">
        <v>20</v>
      </c>
      <c r="G445" t="s">
        <v>21</v>
      </c>
      <c r="H445">
        <v>1466</v>
      </c>
      <c r="I445">
        <v>68.819999999999993</v>
      </c>
      <c r="J445">
        <v>66.819999999999993</v>
      </c>
      <c r="K445">
        <v>100890.12</v>
      </c>
      <c r="L445">
        <v>97958.12</v>
      </c>
      <c r="M445">
        <v>2.9061319383900001E-2</v>
      </c>
      <c r="N445">
        <v>211</v>
      </c>
      <c r="O445" t="s">
        <v>18</v>
      </c>
      <c r="P445">
        <v>0.14392905866302899</v>
      </c>
      <c r="Q445">
        <v>2932</v>
      </c>
    </row>
    <row r="446" spans="1:17" x14ac:dyDescent="0.3">
      <c r="A446" t="s">
        <v>474</v>
      </c>
      <c r="B446" t="s">
        <v>32</v>
      </c>
      <c r="C446" s="1">
        <v>44601</v>
      </c>
      <c r="D446" s="1">
        <v>44605</v>
      </c>
      <c r="E446" t="s">
        <v>42</v>
      </c>
      <c r="F446">
        <v>4</v>
      </c>
      <c r="G446" t="s">
        <v>21</v>
      </c>
      <c r="H446">
        <v>1884</v>
      </c>
      <c r="I446">
        <v>47.08</v>
      </c>
      <c r="J446">
        <v>44.31</v>
      </c>
      <c r="K446">
        <v>88698.72</v>
      </c>
      <c r="L446">
        <v>83480.039999999994</v>
      </c>
      <c r="M446">
        <v>5.88360237892947E-2</v>
      </c>
      <c r="N446">
        <v>54</v>
      </c>
      <c r="O446" t="s">
        <v>18</v>
      </c>
      <c r="P446">
        <v>2.8662420382165599E-2</v>
      </c>
      <c r="Q446">
        <v>5218.68</v>
      </c>
    </row>
    <row r="447" spans="1:17" x14ac:dyDescent="0.3">
      <c r="A447" t="s">
        <v>475</v>
      </c>
      <c r="B447" t="s">
        <v>26</v>
      </c>
      <c r="C447" s="1">
        <v>44673</v>
      </c>
      <c r="D447" s="1">
        <v>44689</v>
      </c>
      <c r="E447" t="s">
        <v>42</v>
      </c>
      <c r="F447">
        <v>16</v>
      </c>
      <c r="G447" t="s">
        <v>21</v>
      </c>
      <c r="H447">
        <v>295</v>
      </c>
      <c r="I447">
        <v>60.58</v>
      </c>
      <c r="J447">
        <v>57.32</v>
      </c>
      <c r="K447">
        <v>17871.099999999999</v>
      </c>
      <c r="L447">
        <v>16909.400000000001</v>
      </c>
      <c r="M447">
        <v>5.3813139650049399E-2</v>
      </c>
      <c r="N447">
        <v>31</v>
      </c>
      <c r="O447" t="s">
        <v>18</v>
      </c>
      <c r="P447">
        <v>0.105084745762712</v>
      </c>
      <c r="Q447">
        <v>961.7</v>
      </c>
    </row>
    <row r="448" spans="1:17" x14ac:dyDescent="0.3">
      <c r="A448" t="s">
        <v>476</v>
      </c>
      <c r="B448" t="s">
        <v>23</v>
      </c>
      <c r="C448" s="1">
        <v>45172</v>
      </c>
      <c r="D448" s="1">
        <v>45173</v>
      </c>
      <c r="E448" t="s">
        <v>29</v>
      </c>
      <c r="F448">
        <v>1</v>
      </c>
      <c r="G448" t="s">
        <v>21</v>
      </c>
      <c r="H448">
        <v>1249</v>
      </c>
      <c r="I448">
        <v>54.18</v>
      </c>
      <c r="J448">
        <v>47.29</v>
      </c>
      <c r="K448">
        <v>67670.820000000007</v>
      </c>
      <c r="L448">
        <v>59065.21</v>
      </c>
      <c r="M448">
        <v>0.127168696936139</v>
      </c>
      <c r="N448">
        <v>59</v>
      </c>
      <c r="O448" t="s">
        <v>18</v>
      </c>
      <c r="P448">
        <v>4.72377902321858E-2</v>
      </c>
      <c r="Q448">
        <v>8605.61</v>
      </c>
    </row>
    <row r="449" spans="1:17" x14ac:dyDescent="0.3">
      <c r="A449" t="s">
        <v>477</v>
      </c>
      <c r="B449" t="s">
        <v>20</v>
      </c>
      <c r="C449" s="1">
        <v>45006</v>
      </c>
      <c r="D449" s="1">
        <v>45025</v>
      </c>
      <c r="E449" t="s">
        <v>29</v>
      </c>
      <c r="F449">
        <v>19</v>
      </c>
      <c r="G449" t="s">
        <v>21</v>
      </c>
      <c r="H449">
        <v>1112</v>
      </c>
      <c r="I449">
        <v>39.06</v>
      </c>
      <c r="J449">
        <v>33.6</v>
      </c>
      <c r="K449">
        <v>43434.720000000001</v>
      </c>
      <c r="L449">
        <v>37363.199999999997</v>
      </c>
      <c r="M449">
        <v>0.13978494623655899</v>
      </c>
      <c r="N449">
        <v>184</v>
      </c>
      <c r="O449" t="s">
        <v>30</v>
      </c>
      <c r="P449">
        <v>0.16546762589928099</v>
      </c>
      <c r="Q449">
        <v>6071.52</v>
      </c>
    </row>
    <row r="450" spans="1:17" x14ac:dyDescent="0.3">
      <c r="A450" t="s">
        <v>478</v>
      </c>
      <c r="B450" t="s">
        <v>23</v>
      </c>
      <c r="C450" s="1">
        <v>44915</v>
      </c>
      <c r="D450" s="1">
        <v>44920</v>
      </c>
      <c r="E450" t="s">
        <v>16</v>
      </c>
      <c r="F450">
        <v>5</v>
      </c>
      <c r="G450" t="s">
        <v>21</v>
      </c>
      <c r="H450">
        <v>1550</v>
      </c>
      <c r="I450">
        <v>100.61</v>
      </c>
      <c r="J450">
        <v>97.43</v>
      </c>
      <c r="K450">
        <v>155945.5</v>
      </c>
      <c r="L450">
        <v>151016.5</v>
      </c>
      <c r="M450">
        <v>3.1607196103766999E-2</v>
      </c>
      <c r="N450">
        <v>66</v>
      </c>
      <c r="O450" t="s">
        <v>18</v>
      </c>
      <c r="P450">
        <v>4.2580645161290301E-2</v>
      </c>
      <c r="Q450">
        <v>4929</v>
      </c>
    </row>
    <row r="451" spans="1:17" x14ac:dyDescent="0.3">
      <c r="A451" t="s">
        <v>479</v>
      </c>
      <c r="B451" t="s">
        <v>20</v>
      </c>
      <c r="C451" s="1">
        <v>44883</v>
      </c>
      <c r="D451" s="1">
        <v>44884</v>
      </c>
      <c r="E451" t="s">
        <v>42</v>
      </c>
      <c r="F451">
        <v>1</v>
      </c>
      <c r="G451" t="s">
        <v>21</v>
      </c>
      <c r="H451">
        <v>1755</v>
      </c>
      <c r="I451">
        <v>82.66</v>
      </c>
      <c r="J451">
        <v>73.67</v>
      </c>
      <c r="K451">
        <v>145068.29999999999</v>
      </c>
      <c r="L451">
        <v>129290.85</v>
      </c>
      <c r="M451">
        <v>0.108758770868618</v>
      </c>
      <c r="N451">
        <v>258</v>
      </c>
      <c r="O451" t="s">
        <v>30</v>
      </c>
      <c r="P451">
        <v>0.14700854700854701</v>
      </c>
      <c r="Q451">
        <v>15777.45</v>
      </c>
    </row>
    <row r="452" spans="1:17" x14ac:dyDescent="0.3">
      <c r="A452" t="s">
        <v>480</v>
      </c>
      <c r="B452" t="s">
        <v>23</v>
      </c>
      <c r="C452" s="1">
        <v>45008</v>
      </c>
      <c r="D452" s="1">
        <v>45016</v>
      </c>
      <c r="E452" t="s">
        <v>29</v>
      </c>
      <c r="F452">
        <v>8</v>
      </c>
      <c r="G452" t="s">
        <v>21</v>
      </c>
      <c r="H452">
        <v>808</v>
      </c>
      <c r="I452">
        <v>24.19</v>
      </c>
      <c r="J452">
        <v>21.64</v>
      </c>
      <c r="K452">
        <v>19545.52</v>
      </c>
      <c r="L452">
        <v>17485.12</v>
      </c>
      <c r="M452">
        <v>0.10541546093427</v>
      </c>
      <c r="N452">
        <v>39</v>
      </c>
      <c r="O452" t="s">
        <v>18</v>
      </c>
      <c r="P452">
        <v>4.8267326732673303E-2</v>
      </c>
      <c r="Q452">
        <v>2060.4</v>
      </c>
    </row>
    <row r="453" spans="1:17" x14ac:dyDescent="0.3">
      <c r="A453" t="s">
        <v>481</v>
      </c>
      <c r="B453" t="s">
        <v>15</v>
      </c>
      <c r="C453" s="1">
        <v>45182</v>
      </c>
      <c r="D453" s="1">
        <v>45188</v>
      </c>
      <c r="E453" t="s">
        <v>29</v>
      </c>
      <c r="F453">
        <v>6</v>
      </c>
      <c r="G453" t="s">
        <v>36</v>
      </c>
      <c r="H453">
        <v>587</v>
      </c>
      <c r="I453">
        <v>96.98</v>
      </c>
      <c r="J453">
        <v>95.35</v>
      </c>
      <c r="K453">
        <v>56927.26</v>
      </c>
      <c r="L453">
        <v>55970.45</v>
      </c>
      <c r="M453">
        <v>1.68075891936483E-2</v>
      </c>
      <c r="N453">
        <v>14</v>
      </c>
      <c r="O453" t="s">
        <v>18</v>
      </c>
      <c r="P453">
        <v>2.3850085178875598E-2</v>
      </c>
      <c r="Q453">
        <v>956.81</v>
      </c>
    </row>
    <row r="454" spans="1:17" x14ac:dyDescent="0.3">
      <c r="A454" t="s">
        <v>482</v>
      </c>
      <c r="B454" t="s">
        <v>32</v>
      </c>
      <c r="C454" s="1">
        <v>45085</v>
      </c>
      <c r="D454" s="1">
        <v>45088</v>
      </c>
      <c r="E454" t="s">
        <v>24</v>
      </c>
      <c r="F454">
        <v>3</v>
      </c>
      <c r="G454" t="s">
        <v>21</v>
      </c>
      <c r="H454">
        <v>1940</v>
      </c>
      <c r="I454">
        <v>58.45</v>
      </c>
      <c r="J454">
        <v>50.29</v>
      </c>
      <c r="K454">
        <v>113393</v>
      </c>
      <c r="L454">
        <v>97562.6</v>
      </c>
      <c r="M454">
        <v>0.139606501283148</v>
      </c>
      <c r="N454">
        <v>54</v>
      </c>
      <c r="O454" t="s">
        <v>18</v>
      </c>
      <c r="P454">
        <v>2.7835051546391799E-2</v>
      </c>
      <c r="Q454">
        <v>15830.4</v>
      </c>
    </row>
    <row r="455" spans="1:17" x14ac:dyDescent="0.3">
      <c r="A455" t="s">
        <v>483</v>
      </c>
      <c r="B455" t="s">
        <v>26</v>
      </c>
      <c r="C455" s="1">
        <v>44680</v>
      </c>
      <c r="D455" s="1">
        <v>44692</v>
      </c>
      <c r="E455" t="s">
        <v>16</v>
      </c>
      <c r="F455">
        <v>12</v>
      </c>
      <c r="G455" t="s">
        <v>17</v>
      </c>
      <c r="H455">
        <v>1891</v>
      </c>
      <c r="I455">
        <v>91.87</v>
      </c>
      <c r="J455">
        <v>80.28</v>
      </c>
      <c r="K455">
        <v>173726.17</v>
      </c>
      <c r="L455">
        <v>151809.48000000001</v>
      </c>
      <c r="M455">
        <v>0.12615652552519899</v>
      </c>
      <c r="N455">
        <v>158</v>
      </c>
      <c r="O455" t="s">
        <v>18</v>
      </c>
      <c r="P455">
        <v>8.35536753040719E-2</v>
      </c>
      <c r="Q455">
        <v>21916.69</v>
      </c>
    </row>
    <row r="456" spans="1:17" x14ac:dyDescent="0.3">
      <c r="A456" t="s">
        <v>484</v>
      </c>
      <c r="B456" t="s">
        <v>32</v>
      </c>
      <c r="C456" s="1">
        <v>44956</v>
      </c>
      <c r="D456" s="1">
        <v>44973</v>
      </c>
      <c r="E456" t="s">
        <v>27</v>
      </c>
      <c r="F456">
        <v>17</v>
      </c>
      <c r="G456" t="s">
        <v>21</v>
      </c>
      <c r="H456">
        <v>970</v>
      </c>
      <c r="I456">
        <v>86.91</v>
      </c>
      <c r="J456">
        <v>78.44</v>
      </c>
      <c r="K456">
        <v>84302.7</v>
      </c>
      <c r="L456">
        <v>76086.8</v>
      </c>
      <c r="M456">
        <v>9.7457139569669698E-2</v>
      </c>
      <c r="N456">
        <v>18</v>
      </c>
      <c r="O456" t="s">
        <v>18</v>
      </c>
      <c r="P456">
        <v>1.85567010309278E-2</v>
      </c>
      <c r="Q456">
        <v>8215.9</v>
      </c>
    </row>
    <row r="457" spans="1:17" x14ac:dyDescent="0.3">
      <c r="A457" t="s">
        <v>485</v>
      </c>
      <c r="B457" t="s">
        <v>32</v>
      </c>
      <c r="C457" s="1">
        <v>45152</v>
      </c>
      <c r="D457" s="1">
        <v>45169</v>
      </c>
      <c r="E457" t="s">
        <v>24</v>
      </c>
      <c r="F457">
        <v>17</v>
      </c>
      <c r="G457" t="s">
        <v>21</v>
      </c>
      <c r="H457">
        <v>457</v>
      </c>
      <c r="I457">
        <v>52.85</v>
      </c>
      <c r="J457">
        <v>50.34</v>
      </c>
      <c r="K457">
        <v>24152.45</v>
      </c>
      <c r="L457">
        <v>23005.38</v>
      </c>
      <c r="M457">
        <v>4.7492904446546802E-2</v>
      </c>
      <c r="N457">
        <v>16</v>
      </c>
      <c r="O457" t="s">
        <v>18</v>
      </c>
      <c r="P457">
        <v>3.5010940919037198E-2</v>
      </c>
      <c r="Q457">
        <v>1147.07</v>
      </c>
    </row>
    <row r="458" spans="1:17" x14ac:dyDescent="0.3">
      <c r="A458" t="s">
        <v>486</v>
      </c>
      <c r="B458" t="s">
        <v>26</v>
      </c>
      <c r="C458" s="1">
        <v>44756</v>
      </c>
      <c r="D458" s="1">
        <v>44769</v>
      </c>
      <c r="E458" t="s">
        <v>16</v>
      </c>
      <c r="F458">
        <v>13</v>
      </c>
      <c r="G458" t="s">
        <v>17</v>
      </c>
      <c r="H458">
        <v>574</v>
      </c>
      <c r="I458">
        <v>12.38</v>
      </c>
      <c r="J458">
        <v>11.47</v>
      </c>
      <c r="K458">
        <v>7106.12</v>
      </c>
      <c r="L458">
        <v>6583.78</v>
      </c>
      <c r="M458">
        <v>7.3505654281098606E-2</v>
      </c>
      <c r="N458">
        <v>0</v>
      </c>
      <c r="O458" t="s">
        <v>30</v>
      </c>
      <c r="P458">
        <v>0</v>
      </c>
      <c r="Q458">
        <v>522.34</v>
      </c>
    </row>
    <row r="459" spans="1:17" x14ac:dyDescent="0.3">
      <c r="A459" t="s">
        <v>487</v>
      </c>
      <c r="B459" t="s">
        <v>32</v>
      </c>
      <c r="C459" s="1">
        <v>44822</v>
      </c>
      <c r="D459" s="1">
        <v>44824</v>
      </c>
      <c r="E459" t="s">
        <v>16</v>
      </c>
      <c r="F459">
        <v>2</v>
      </c>
      <c r="G459" t="s">
        <v>21</v>
      </c>
      <c r="H459">
        <v>877</v>
      </c>
      <c r="I459">
        <v>35.549999999999997</v>
      </c>
      <c r="J459">
        <v>34.69</v>
      </c>
      <c r="K459">
        <v>31177.35</v>
      </c>
      <c r="L459">
        <v>30423.13</v>
      </c>
      <c r="M459">
        <v>2.41912798874825E-2</v>
      </c>
      <c r="N459">
        <v>24</v>
      </c>
      <c r="O459" t="s">
        <v>18</v>
      </c>
      <c r="P459">
        <v>2.7366020524515401E-2</v>
      </c>
      <c r="Q459">
        <v>754.22</v>
      </c>
    </row>
    <row r="460" spans="1:17" x14ac:dyDescent="0.3">
      <c r="A460" t="s">
        <v>488</v>
      </c>
      <c r="B460" t="s">
        <v>15</v>
      </c>
      <c r="C460" s="1">
        <v>44607</v>
      </c>
      <c r="D460" s="1">
        <v>44619</v>
      </c>
      <c r="E460" t="s">
        <v>24</v>
      </c>
      <c r="F460">
        <v>12</v>
      </c>
      <c r="G460" t="s">
        <v>21</v>
      </c>
      <c r="H460">
        <v>1579</v>
      </c>
      <c r="I460">
        <v>59.04</v>
      </c>
      <c r="J460">
        <v>50.95</v>
      </c>
      <c r="K460">
        <v>93224.16</v>
      </c>
      <c r="L460">
        <v>80450.05</v>
      </c>
      <c r="M460">
        <v>0.13702574525745301</v>
      </c>
      <c r="N460">
        <v>29</v>
      </c>
      <c r="O460" t="s">
        <v>18</v>
      </c>
      <c r="P460">
        <v>1.8366054464851199E-2</v>
      </c>
      <c r="Q460">
        <v>12774.11</v>
      </c>
    </row>
    <row r="461" spans="1:17" x14ac:dyDescent="0.3">
      <c r="A461" t="s">
        <v>489</v>
      </c>
      <c r="B461" t="s">
        <v>20</v>
      </c>
      <c r="C461" s="1">
        <v>45287</v>
      </c>
      <c r="D461" s="1">
        <v>45288</v>
      </c>
      <c r="E461" t="s">
        <v>29</v>
      </c>
      <c r="F461">
        <v>1</v>
      </c>
      <c r="G461" t="s">
        <v>21</v>
      </c>
      <c r="H461">
        <v>952</v>
      </c>
      <c r="I461">
        <v>74.72</v>
      </c>
      <c r="J461">
        <v>69.73</v>
      </c>
      <c r="K461">
        <v>71133.440000000002</v>
      </c>
      <c r="L461">
        <v>66382.960000000006</v>
      </c>
      <c r="M461">
        <v>6.6782655246252598E-2</v>
      </c>
      <c r="N461">
        <v>0</v>
      </c>
      <c r="O461" t="s">
        <v>18</v>
      </c>
      <c r="P461">
        <v>0</v>
      </c>
      <c r="Q461">
        <v>4750.4799999999996</v>
      </c>
    </row>
    <row r="462" spans="1:17" x14ac:dyDescent="0.3">
      <c r="A462" t="s">
        <v>490</v>
      </c>
      <c r="B462" t="s">
        <v>26</v>
      </c>
      <c r="C462" s="1">
        <v>45008</v>
      </c>
      <c r="D462" s="1">
        <v>45011</v>
      </c>
      <c r="E462" t="s">
        <v>29</v>
      </c>
      <c r="F462">
        <v>3</v>
      </c>
      <c r="G462" t="s">
        <v>38</v>
      </c>
      <c r="H462">
        <v>1898</v>
      </c>
      <c r="I462">
        <v>35.53</v>
      </c>
      <c r="J462">
        <v>33.25</v>
      </c>
      <c r="K462">
        <v>67435.94</v>
      </c>
      <c r="L462">
        <v>63108.5</v>
      </c>
      <c r="M462">
        <v>6.4171122994652399E-2</v>
      </c>
      <c r="N462">
        <v>187</v>
      </c>
      <c r="O462" t="s">
        <v>18</v>
      </c>
      <c r="P462">
        <v>9.8524762908324598E-2</v>
      </c>
      <c r="Q462">
        <v>4327.4399999999996</v>
      </c>
    </row>
    <row r="463" spans="1:17" x14ac:dyDescent="0.3">
      <c r="A463" t="s">
        <v>491</v>
      </c>
      <c r="B463" t="s">
        <v>20</v>
      </c>
      <c r="C463" s="1">
        <v>44563</v>
      </c>
      <c r="D463" s="1">
        <v>44567</v>
      </c>
      <c r="E463" t="s">
        <v>27</v>
      </c>
      <c r="F463">
        <v>4</v>
      </c>
      <c r="G463" t="s">
        <v>21</v>
      </c>
      <c r="H463">
        <v>85</v>
      </c>
      <c r="I463">
        <v>22.54</v>
      </c>
      <c r="J463">
        <v>20.68</v>
      </c>
      <c r="K463">
        <v>1915.9</v>
      </c>
      <c r="L463">
        <v>1757.8</v>
      </c>
      <c r="M463">
        <v>8.2519964507542107E-2</v>
      </c>
      <c r="N463">
        <v>6</v>
      </c>
      <c r="O463" t="s">
        <v>18</v>
      </c>
      <c r="P463">
        <v>7.0588235294117604E-2</v>
      </c>
      <c r="Q463">
        <v>158.1</v>
      </c>
    </row>
    <row r="464" spans="1:17" x14ac:dyDescent="0.3">
      <c r="A464" t="s">
        <v>492</v>
      </c>
      <c r="B464" t="s">
        <v>23</v>
      </c>
      <c r="C464" s="1">
        <v>45094</v>
      </c>
      <c r="D464" s="1">
        <v>45105</v>
      </c>
      <c r="E464" t="s">
        <v>27</v>
      </c>
      <c r="F464">
        <v>11</v>
      </c>
      <c r="G464" t="s">
        <v>38</v>
      </c>
      <c r="H464">
        <v>734</v>
      </c>
      <c r="I464">
        <v>92.38</v>
      </c>
      <c r="J464">
        <v>78.92</v>
      </c>
      <c r="K464">
        <v>67806.92</v>
      </c>
      <c r="L464">
        <v>57927.28</v>
      </c>
      <c r="M464">
        <v>0.14570253301580399</v>
      </c>
      <c r="N464">
        <v>34</v>
      </c>
      <c r="O464" t="s">
        <v>30</v>
      </c>
      <c r="P464">
        <v>4.6321525885558601E-2</v>
      </c>
      <c r="Q464">
        <v>9879.64</v>
      </c>
    </row>
    <row r="465" spans="1:17" x14ac:dyDescent="0.3">
      <c r="A465" t="s">
        <v>493</v>
      </c>
      <c r="B465" t="s">
        <v>15</v>
      </c>
      <c r="C465" s="1">
        <v>45113</v>
      </c>
      <c r="D465" s="1">
        <v>45125</v>
      </c>
      <c r="E465" t="s">
        <v>16</v>
      </c>
      <c r="F465">
        <v>12</v>
      </c>
      <c r="G465" t="s">
        <v>21</v>
      </c>
      <c r="H465">
        <v>69</v>
      </c>
      <c r="I465">
        <v>107.47</v>
      </c>
      <c r="J465">
        <v>105.53</v>
      </c>
      <c r="K465">
        <v>7415.43</v>
      </c>
      <c r="L465">
        <v>7281.57</v>
      </c>
      <c r="M465">
        <v>1.8051549269563701E-2</v>
      </c>
      <c r="N465">
        <v>0</v>
      </c>
      <c r="O465" t="s">
        <v>18</v>
      </c>
      <c r="P465">
        <v>0</v>
      </c>
      <c r="Q465">
        <v>133.86000000000001</v>
      </c>
    </row>
    <row r="466" spans="1:17" x14ac:dyDescent="0.3">
      <c r="A466" t="s">
        <v>494</v>
      </c>
      <c r="B466" t="s">
        <v>20</v>
      </c>
      <c r="C466" s="1">
        <v>45265</v>
      </c>
      <c r="D466" s="1">
        <v>45271</v>
      </c>
      <c r="E466" t="s">
        <v>27</v>
      </c>
      <c r="F466">
        <v>6</v>
      </c>
      <c r="G466" t="s">
        <v>21</v>
      </c>
      <c r="H466">
        <v>370</v>
      </c>
      <c r="I466">
        <v>63.9</v>
      </c>
      <c r="J466">
        <v>55.79</v>
      </c>
      <c r="K466">
        <v>23643</v>
      </c>
      <c r="L466">
        <v>20642.3</v>
      </c>
      <c r="M466">
        <v>0.126917057902973</v>
      </c>
      <c r="N466">
        <v>59</v>
      </c>
      <c r="O466" t="s">
        <v>18</v>
      </c>
      <c r="P466">
        <v>0.159459459459459</v>
      </c>
      <c r="Q466">
        <v>3000.7</v>
      </c>
    </row>
    <row r="467" spans="1:17" x14ac:dyDescent="0.3">
      <c r="A467" t="s">
        <v>495</v>
      </c>
      <c r="B467" t="s">
        <v>20</v>
      </c>
      <c r="C467" s="1">
        <v>45248</v>
      </c>
      <c r="D467" s="1">
        <v>45263</v>
      </c>
      <c r="E467" t="s">
        <v>24</v>
      </c>
      <c r="F467">
        <v>15</v>
      </c>
      <c r="G467" t="s">
        <v>21</v>
      </c>
      <c r="H467">
        <v>1849</v>
      </c>
      <c r="I467">
        <v>28.25</v>
      </c>
      <c r="J467">
        <v>27.53</v>
      </c>
      <c r="K467">
        <v>52234.25</v>
      </c>
      <c r="L467">
        <v>50902.97</v>
      </c>
      <c r="M467">
        <v>2.5486725663716799E-2</v>
      </c>
      <c r="N467">
        <v>271</v>
      </c>
      <c r="O467" t="s">
        <v>18</v>
      </c>
      <c r="P467">
        <v>0.14656571119524101</v>
      </c>
      <c r="Q467">
        <v>1331.28</v>
      </c>
    </row>
    <row r="468" spans="1:17" x14ac:dyDescent="0.3">
      <c r="A468" t="s">
        <v>496</v>
      </c>
      <c r="B468" t="s">
        <v>23</v>
      </c>
      <c r="C468" s="1">
        <v>44934</v>
      </c>
      <c r="D468" s="1">
        <v>44940</v>
      </c>
      <c r="E468" t="s">
        <v>42</v>
      </c>
      <c r="F468">
        <v>6</v>
      </c>
      <c r="G468" t="s">
        <v>21</v>
      </c>
      <c r="H468">
        <v>449</v>
      </c>
      <c r="I468">
        <v>12.35</v>
      </c>
      <c r="J468">
        <v>10.67</v>
      </c>
      <c r="K468">
        <v>5545.15</v>
      </c>
      <c r="L468">
        <v>4790.83</v>
      </c>
      <c r="M468">
        <v>0.136032388663968</v>
      </c>
      <c r="N468">
        <v>29</v>
      </c>
      <c r="O468" t="s">
        <v>18</v>
      </c>
      <c r="P468">
        <v>6.4587973273942098E-2</v>
      </c>
      <c r="Q468">
        <v>754.32</v>
      </c>
    </row>
    <row r="469" spans="1:17" x14ac:dyDescent="0.3">
      <c r="A469" t="s">
        <v>497</v>
      </c>
      <c r="B469" t="s">
        <v>26</v>
      </c>
      <c r="C469" s="1">
        <v>45003</v>
      </c>
      <c r="D469" s="1">
        <v>45006</v>
      </c>
      <c r="E469" t="s">
        <v>16</v>
      </c>
      <c r="F469">
        <v>3</v>
      </c>
      <c r="G469" t="s">
        <v>21</v>
      </c>
      <c r="H469">
        <v>703</v>
      </c>
      <c r="I469">
        <v>98.75</v>
      </c>
      <c r="J469">
        <v>86.78</v>
      </c>
      <c r="K469">
        <v>69421.25</v>
      </c>
      <c r="L469">
        <v>61006.34</v>
      </c>
      <c r="M469">
        <v>0.12121518987341801</v>
      </c>
      <c r="N469">
        <v>59</v>
      </c>
      <c r="O469" t="s">
        <v>18</v>
      </c>
      <c r="P469">
        <v>8.3926031294452405E-2</v>
      </c>
      <c r="Q469">
        <v>8414.91</v>
      </c>
    </row>
    <row r="470" spans="1:17" x14ac:dyDescent="0.3">
      <c r="A470" t="s">
        <v>498</v>
      </c>
      <c r="B470" t="s">
        <v>23</v>
      </c>
      <c r="C470" s="1">
        <v>44633</v>
      </c>
      <c r="D470" s="1">
        <v>44648</v>
      </c>
      <c r="E470" t="s">
        <v>42</v>
      </c>
      <c r="F470">
        <v>15</v>
      </c>
      <c r="G470" t="s">
        <v>21</v>
      </c>
      <c r="H470">
        <v>1021</v>
      </c>
      <c r="I470">
        <v>20.8</v>
      </c>
      <c r="J470">
        <v>18.23</v>
      </c>
      <c r="K470">
        <v>21236.799999999999</v>
      </c>
      <c r="L470">
        <v>18612.830000000002</v>
      </c>
      <c r="M470">
        <v>0.12355769230769199</v>
      </c>
      <c r="N470">
        <v>37</v>
      </c>
      <c r="O470" t="s">
        <v>18</v>
      </c>
      <c r="P470">
        <v>3.6238981390793297E-2</v>
      </c>
      <c r="Q470">
        <v>2623.97</v>
      </c>
    </row>
    <row r="471" spans="1:17" x14ac:dyDescent="0.3">
      <c r="A471" t="s">
        <v>499</v>
      </c>
      <c r="B471" t="s">
        <v>26</v>
      </c>
      <c r="C471" s="1">
        <v>45242</v>
      </c>
      <c r="D471" s="1">
        <v>45249</v>
      </c>
      <c r="E471" t="s">
        <v>16</v>
      </c>
      <c r="F471">
        <v>7</v>
      </c>
      <c r="G471" t="s">
        <v>21</v>
      </c>
      <c r="H471">
        <v>1956</v>
      </c>
      <c r="I471">
        <v>68.69</v>
      </c>
      <c r="J471">
        <v>65.09</v>
      </c>
      <c r="K471">
        <v>134357.64000000001</v>
      </c>
      <c r="L471">
        <v>127316.04</v>
      </c>
      <c r="M471">
        <v>5.24093754549423E-2</v>
      </c>
      <c r="N471">
        <v>0</v>
      </c>
      <c r="O471" t="s">
        <v>18</v>
      </c>
      <c r="P471">
        <v>0</v>
      </c>
      <c r="Q471">
        <v>7041.6</v>
      </c>
    </row>
    <row r="472" spans="1:17" x14ac:dyDescent="0.3">
      <c r="A472" t="s">
        <v>500</v>
      </c>
      <c r="B472" t="s">
        <v>20</v>
      </c>
      <c r="C472" s="1">
        <v>44900</v>
      </c>
      <c r="D472" s="1">
        <v>44907</v>
      </c>
      <c r="E472" t="s">
        <v>16</v>
      </c>
      <c r="F472">
        <v>7</v>
      </c>
      <c r="G472" t="s">
        <v>36</v>
      </c>
      <c r="H472">
        <v>520</v>
      </c>
      <c r="I472">
        <v>36.57</v>
      </c>
      <c r="J472">
        <v>34.78</v>
      </c>
      <c r="K472">
        <v>19016.400000000001</v>
      </c>
      <c r="L472">
        <v>18085.599999999999</v>
      </c>
      <c r="M472">
        <v>4.8947224500957003E-2</v>
      </c>
      <c r="N472">
        <v>67</v>
      </c>
      <c r="O472" t="s">
        <v>30</v>
      </c>
      <c r="P472">
        <v>0.128846153846154</v>
      </c>
      <c r="Q472">
        <v>930.8</v>
      </c>
    </row>
    <row r="473" spans="1:17" x14ac:dyDescent="0.3">
      <c r="A473" t="s">
        <v>501</v>
      </c>
      <c r="B473" t="s">
        <v>20</v>
      </c>
      <c r="C473" s="1">
        <v>45200</v>
      </c>
      <c r="D473" s="1">
        <v>45211</v>
      </c>
      <c r="E473" t="s">
        <v>24</v>
      </c>
      <c r="F473">
        <v>11</v>
      </c>
      <c r="G473" t="s">
        <v>21</v>
      </c>
      <c r="H473">
        <v>1216</v>
      </c>
      <c r="I473">
        <v>66.16</v>
      </c>
      <c r="J473">
        <v>63</v>
      </c>
      <c r="K473">
        <v>80450.559999999998</v>
      </c>
      <c r="L473">
        <v>76608</v>
      </c>
      <c r="M473">
        <v>4.7762998790810099E-2</v>
      </c>
      <c r="N473">
        <v>179</v>
      </c>
      <c r="O473" t="s">
        <v>30</v>
      </c>
      <c r="P473">
        <v>0.14720394736842099</v>
      </c>
      <c r="Q473">
        <v>3842.56</v>
      </c>
    </row>
    <row r="474" spans="1:17" x14ac:dyDescent="0.3">
      <c r="A474" t="s">
        <v>502</v>
      </c>
      <c r="B474" t="s">
        <v>20</v>
      </c>
      <c r="C474" s="1">
        <v>45241</v>
      </c>
      <c r="D474" s="1">
        <v>45259</v>
      </c>
      <c r="E474" t="s">
        <v>27</v>
      </c>
      <c r="F474">
        <v>18</v>
      </c>
      <c r="G474" t="s">
        <v>38</v>
      </c>
      <c r="H474">
        <v>1427</v>
      </c>
      <c r="I474">
        <v>93.99</v>
      </c>
      <c r="J474">
        <v>83.6</v>
      </c>
      <c r="K474">
        <v>134123.73000000001</v>
      </c>
      <c r="L474">
        <v>119297.2</v>
      </c>
      <c r="M474">
        <v>0.110543674859027</v>
      </c>
      <c r="N474">
        <v>213</v>
      </c>
      <c r="O474" t="s">
        <v>18</v>
      </c>
      <c r="P474">
        <v>0.149264190609671</v>
      </c>
      <c r="Q474">
        <v>14826.53</v>
      </c>
    </row>
    <row r="475" spans="1:17" x14ac:dyDescent="0.3">
      <c r="A475" t="s">
        <v>503</v>
      </c>
      <c r="B475" t="s">
        <v>32</v>
      </c>
      <c r="C475" s="1">
        <v>44689</v>
      </c>
      <c r="D475" s="1">
        <v>44691</v>
      </c>
      <c r="E475" t="s">
        <v>42</v>
      </c>
      <c r="F475">
        <v>2</v>
      </c>
      <c r="G475" t="s">
        <v>21</v>
      </c>
      <c r="H475">
        <v>883</v>
      </c>
      <c r="I475">
        <v>29.15</v>
      </c>
      <c r="J475">
        <v>25.75</v>
      </c>
      <c r="K475">
        <v>25739.45</v>
      </c>
      <c r="L475">
        <v>22737.25</v>
      </c>
      <c r="M475">
        <v>0.11663807890223001</v>
      </c>
      <c r="N475">
        <v>14</v>
      </c>
      <c r="O475" t="s">
        <v>18</v>
      </c>
      <c r="P475">
        <v>1.58550396375991E-2</v>
      </c>
      <c r="Q475">
        <v>3002.2</v>
      </c>
    </row>
    <row r="476" spans="1:17" x14ac:dyDescent="0.3">
      <c r="A476" t="s">
        <v>504</v>
      </c>
      <c r="B476" t="s">
        <v>20</v>
      </c>
      <c r="C476" s="1">
        <v>44869</v>
      </c>
      <c r="D476" s="1">
        <v>44876</v>
      </c>
      <c r="E476" t="s">
        <v>27</v>
      </c>
      <c r="F476">
        <v>7</v>
      </c>
      <c r="G476" t="s">
        <v>36</v>
      </c>
      <c r="H476">
        <v>1873</v>
      </c>
      <c r="I476">
        <v>11.54</v>
      </c>
      <c r="J476">
        <v>9.89</v>
      </c>
      <c r="K476">
        <v>21614.42</v>
      </c>
      <c r="L476">
        <v>18523.97</v>
      </c>
      <c r="M476">
        <v>0.14298093587521599</v>
      </c>
      <c r="N476">
        <v>284</v>
      </c>
      <c r="O476" t="s">
        <v>30</v>
      </c>
      <c r="P476">
        <v>0.151628403630539</v>
      </c>
      <c r="Q476">
        <v>3090.45</v>
      </c>
    </row>
    <row r="477" spans="1:17" x14ac:dyDescent="0.3">
      <c r="A477" t="s">
        <v>505</v>
      </c>
      <c r="B477" t="s">
        <v>32</v>
      </c>
      <c r="C477" s="1">
        <v>45081</v>
      </c>
      <c r="D477" s="1">
        <v>45083</v>
      </c>
      <c r="E477" t="s">
        <v>16</v>
      </c>
      <c r="F477">
        <v>2</v>
      </c>
      <c r="G477" t="s">
        <v>21</v>
      </c>
      <c r="H477">
        <v>776</v>
      </c>
      <c r="I477">
        <v>24.22</v>
      </c>
      <c r="J477">
        <v>22.53</v>
      </c>
      <c r="K477">
        <v>18794.72</v>
      </c>
      <c r="L477">
        <v>17483.28</v>
      </c>
      <c r="M477">
        <v>6.9777043765482799E-2</v>
      </c>
      <c r="N477">
        <v>27</v>
      </c>
      <c r="O477" t="s">
        <v>18</v>
      </c>
      <c r="P477">
        <v>3.4793814432989699E-2</v>
      </c>
      <c r="Q477">
        <v>1311.44</v>
      </c>
    </row>
    <row r="478" spans="1:17" x14ac:dyDescent="0.3">
      <c r="A478" t="s">
        <v>506</v>
      </c>
      <c r="B478" t="s">
        <v>20</v>
      </c>
      <c r="C478" s="1">
        <v>44878</v>
      </c>
      <c r="D478" s="1">
        <v>44889</v>
      </c>
      <c r="E478" t="s">
        <v>42</v>
      </c>
      <c r="F478">
        <v>11</v>
      </c>
      <c r="G478" t="s">
        <v>21</v>
      </c>
      <c r="H478">
        <v>903</v>
      </c>
      <c r="I478">
        <v>95.55</v>
      </c>
      <c r="J478">
        <v>92.45</v>
      </c>
      <c r="K478">
        <v>86281.65</v>
      </c>
      <c r="L478">
        <v>83482.350000000006</v>
      </c>
      <c r="M478">
        <v>3.2443746729460897E-2</v>
      </c>
      <c r="N478">
        <v>149</v>
      </c>
      <c r="O478" t="s">
        <v>30</v>
      </c>
      <c r="P478">
        <v>0.16500553709856</v>
      </c>
      <c r="Q478">
        <v>2799.3</v>
      </c>
    </row>
    <row r="479" spans="1:17" x14ac:dyDescent="0.3">
      <c r="A479" t="s">
        <v>507</v>
      </c>
      <c r="B479" t="s">
        <v>32</v>
      </c>
      <c r="C479" s="1">
        <v>45244</v>
      </c>
      <c r="D479" s="1">
        <v>45256</v>
      </c>
      <c r="E479" t="s">
        <v>42</v>
      </c>
      <c r="F479">
        <v>12</v>
      </c>
      <c r="G479" t="s">
        <v>21</v>
      </c>
      <c r="H479">
        <v>100</v>
      </c>
      <c r="I479">
        <v>98.4</v>
      </c>
      <c r="J479">
        <v>85.76</v>
      </c>
      <c r="K479">
        <v>9840</v>
      </c>
      <c r="L479">
        <v>8576</v>
      </c>
      <c r="M479">
        <v>0.12845528455284599</v>
      </c>
      <c r="N479">
        <v>3</v>
      </c>
      <c r="O479" t="s">
        <v>18</v>
      </c>
      <c r="P479">
        <v>0.03</v>
      </c>
      <c r="Q479">
        <v>1264</v>
      </c>
    </row>
    <row r="480" spans="1:17" x14ac:dyDescent="0.3">
      <c r="A480" t="s">
        <v>508</v>
      </c>
      <c r="B480" t="s">
        <v>32</v>
      </c>
      <c r="C480" s="1">
        <v>44980</v>
      </c>
      <c r="D480" s="1">
        <v>44993</v>
      </c>
      <c r="E480" t="s">
        <v>16</v>
      </c>
      <c r="F480">
        <v>13</v>
      </c>
      <c r="G480" t="s">
        <v>21</v>
      </c>
      <c r="H480">
        <v>1738</v>
      </c>
      <c r="I480">
        <v>67.91</v>
      </c>
      <c r="J480">
        <v>61.15</v>
      </c>
      <c r="K480">
        <v>118027.58</v>
      </c>
      <c r="L480">
        <v>106278.7</v>
      </c>
      <c r="M480">
        <v>9.9543513473715095E-2</v>
      </c>
      <c r="N480">
        <v>0</v>
      </c>
      <c r="O480" t="s">
        <v>18</v>
      </c>
      <c r="P480">
        <v>0</v>
      </c>
      <c r="Q480">
        <v>11748.88</v>
      </c>
    </row>
    <row r="481" spans="1:17" x14ac:dyDescent="0.3">
      <c r="A481" t="s">
        <v>509</v>
      </c>
      <c r="B481" t="s">
        <v>20</v>
      </c>
      <c r="C481" s="1">
        <v>44896</v>
      </c>
      <c r="D481" s="1">
        <v>44909</v>
      </c>
      <c r="E481" t="s">
        <v>27</v>
      </c>
      <c r="F481">
        <v>13</v>
      </c>
      <c r="G481" t="s">
        <v>21</v>
      </c>
      <c r="H481">
        <v>1771</v>
      </c>
      <c r="I481">
        <v>67.569999999999993</v>
      </c>
      <c r="J481">
        <v>61.48</v>
      </c>
      <c r="K481">
        <v>119666.47</v>
      </c>
      <c r="L481">
        <v>108881.08</v>
      </c>
      <c r="M481">
        <v>9.0128755364806898E-2</v>
      </c>
      <c r="N481">
        <v>280</v>
      </c>
      <c r="O481" t="s">
        <v>30</v>
      </c>
      <c r="P481">
        <v>0.158102766798419</v>
      </c>
      <c r="Q481">
        <v>10785.39</v>
      </c>
    </row>
    <row r="482" spans="1:17" x14ac:dyDescent="0.3">
      <c r="A482" t="s">
        <v>510</v>
      </c>
      <c r="B482" t="s">
        <v>32</v>
      </c>
      <c r="C482" s="1">
        <v>44974</v>
      </c>
      <c r="D482" s="1">
        <v>44980</v>
      </c>
      <c r="E482" t="s">
        <v>42</v>
      </c>
      <c r="F482">
        <v>6</v>
      </c>
      <c r="G482" t="s">
        <v>21</v>
      </c>
      <c r="H482">
        <v>624</v>
      </c>
      <c r="I482">
        <v>74.39</v>
      </c>
      <c r="J482">
        <v>66.3</v>
      </c>
      <c r="K482">
        <v>46419.360000000001</v>
      </c>
      <c r="L482">
        <v>41371.199999999997</v>
      </c>
      <c r="M482">
        <v>0.108751176233365</v>
      </c>
      <c r="N482">
        <v>18</v>
      </c>
      <c r="O482" t="s">
        <v>30</v>
      </c>
      <c r="P482">
        <v>2.8846153846153799E-2</v>
      </c>
      <c r="Q482">
        <v>5048.16</v>
      </c>
    </row>
    <row r="483" spans="1:17" x14ac:dyDescent="0.3">
      <c r="A483" t="s">
        <v>511</v>
      </c>
      <c r="B483" t="s">
        <v>15</v>
      </c>
      <c r="C483" s="1">
        <v>45275</v>
      </c>
      <c r="D483" s="1">
        <v>45291</v>
      </c>
      <c r="E483" t="s">
        <v>27</v>
      </c>
      <c r="F483">
        <v>16</v>
      </c>
      <c r="G483" t="s">
        <v>36</v>
      </c>
      <c r="H483">
        <v>1263</v>
      </c>
      <c r="I483">
        <v>28.75</v>
      </c>
      <c r="J483">
        <v>27.1</v>
      </c>
      <c r="K483">
        <v>36311.25</v>
      </c>
      <c r="L483">
        <v>34227.300000000003</v>
      </c>
      <c r="M483">
        <v>5.7391304347826001E-2</v>
      </c>
      <c r="N483">
        <v>26</v>
      </c>
      <c r="O483" t="s">
        <v>18</v>
      </c>
      <c r="P483">
        <v>2.0585906571654801E-2</v>
      </c>
      <c r="Q483">
        <v>2083.9499999999998</v>
      </c>
    </row>
    <row r="484" spans="1:17" x14ac:dyDescent="0.3">
      <c r="A484" t="s">
        <v>512</v>
      </c>
      <c r="B484" t="s">
        <v>23</v>
      </c>
      <c r="C484" s="1">
        <v>44864</v>
      </c>
      <c r="D484" s="1">
        <v>44881</v>
      </c>
      <c r="E484" t="s">
        <v>42</v>
      </c>
      <c r="F484">
        <v>17</v>
      </c>
      <c r="G484" t="s">
        <v>17</v>
      </c>
      <c r="H484">
        <v>1198</v>
      </c>
      <c r="I484">
        <v>96.45</v>
      </c>
      <c r="J484">
        <v>90.09</v>
      </c>
      <c r="K484">
        <v>115547.1</v>
      </c>
      <c r="L484">
        <v>107927.82</v>
      </c>
      <c r="M484">
        <v>6.5940902021772899E-2</v>
      </c>
      <c r="N484">
        <v>0</v>
      </c>
      <c r="O484" t="s">
        <v>18</v>
      </c>
      <c r="P484">
        <v>0</v>
      </c>
      <c r="Q484">
        <v>7619.28</v>
      </c>
    </row>
    <row r="485" spans="1:17" x14ac:dyDescent="0.3">
      <c r="A485" t="s">
        <v>513</v>
      </c>
      <c r="B485" t="s">
        <v>32</v>
      </c>
      <c r="C485" s="1">
        <v>45129</v>
      </c>
      <c r="D485" s="1">
        <v>45132</v>
      </c>
      <c r="E485" t="s">
        <v>29</v>
      </c>
      <c r="F485">
        <v>3</v>
      </c>
      <c r="G485" t="s">
        <v>21</v>
      </c>
      <c r="H485">
        <v>199</v>
      </c>
      <c r="I485">
        <v>51.98</v>
      </c>
      <c r="J485">
        <v>45.64</v>
      </c>
      <c r="K485">
        <v>10344.02</v>
      </c>
      <c r="L485">
        <v>9082.36</v>
      </c>
      <c r="M485">
        <v>0.121969988457099</v>
      </c>
      <c r="N485">
        <v>0</v>
      </c>
      <c r="O485" t="s">
        <v>30</v>
      </c>
      <c r="P485">
        <v>0</v>
      </c>
      <c r="Q485">
        <v>1261.6600000000001</v>
      </c>
    </row>
    <row r="486" spans="1:17" x14ac:dyDescent="0.3">
      <c r="A486" t="s">
        <v>514</v>
      </c>
      <c r="B486" t="s">
        <v>32</v>
      </c>
      <c r="C486" s="1">
        <v>44692</v>
      </c>
      <c r="D486" s="1">
        <v>44695</v>
      </c>
      <c r="E486" t="s">
        <v>24</v>
      </c>
      <c r="F486">
        <v>3</v>
      </c>
      <c r="G486" t="s">
        <v>38</v>
      </c>
      <c r="H486">
        <v>363</v>
      </c>
      <c r="I486">
        <v>45.37</v>
      </c>
      <c r="J486">
        <v>38.729999999999997</v>
      </c>
      <c r="K486">
        <v>16469.310000000001</v>
      </c>
      <c r="L486">
        <v>14058.99</v>
      </c>
      <c r="M486">
        <v>0.146352215120123</v>
      </c>
      <c r="N486">
        <v>0</v>
      </c>
      <c r="O486" t="s">
        <v>18</v>
      </c>
      <c r="P486">
        <v>0</v>
      </c>
      <c r="Q486">
        <v>2410.3200000000002</v>
      </c>
    </row>
    <row r="487" spans="1:17" x14ac:dyDescent="0.3">
      <c r="A487" t="s">
        <v>515</v>
      </c>
      <c r="B487" t="s">
        <v>15</v>
      </c>
      <c r="C487" s="1">
        <v>44758</v>
      </c>
      <c r="D487" s="1">
        <v>44764</v>
      </c>
      <c r="E487" t="s">
        <v>16</v>
      </c>
      <c r="F487">
        <v>6</v>
      </c>
      <c r="G487" t="s">
        <v>21</v>
      </c>
      <c r="H487">
        <v>619</v>
      </c>
      <c r="I487">
        <v>58.4</v>
      </c>
      <c r="J487">
        <v>51.04</v>
      </c>
      <c r="K487">
        <v>36149.599999999999</v>
      </c>
      <c r="L487">
        <v>31593.759999999998</v>
      </c>
      <c r="M487">
        <v>0.12602739726027401</v>
      </c>
      <c r="N487">
        <v>0</v>
      </c>
      <c r="O487" t="s">
        <v>18</v>
      </c>
      <c r="P487">
        <v>0</v>
      </c>
      <c r="Q487">
        <v>4555.84</v>
      </c>
    </row>
    <row r="488" spans="1:17" x14ac:dyDescent="0.3">
      <c r="A488" t="s">
        <v>516</v>
      </c>
      <c r="B488" t="s">
        <v>15</v>
      </c>
      <c r="C488" s="1">
        <v>44992</v>
      </c>
      <c r="D488" s="1">
        <v>45003</v>
      </c>
      <c r="E488" t="s">
        <v>24</v>
      </c>
      <c r="F488">
        <v>11</v>
      </c>
      <c r="G488" t="s">
        <v>21</v>
      </c>
      <c r="H488">
        <v>1415</v>
      </c>
      <c r="I488">
        <v>15.22</v>
      </c>
      <c r="J488">
        <v>13.56</v>
      </c>
      <c r="K488">
        <v>21536.3</v>
      </c>
      <c r="L488">
        <v>19187.400000000001</v>
      </c>
      <c r="M488">
        <v>0.109067017082786</v>
      </c>
      <c r="N488">
        <v>30</v>
      </c>
      <c r="O488" t="s">
        <v>18</v>
      </c>
      <c r="P488">
        <v>2.1201413427561801E-2</v>
      </c>
      <c r="Q488">
        <v>2348.9</v>
      </c>
    </row>
    <row r="489" spans="1:17" x14ac:dyDescent="0.3">
      <c r="A489" t="s">
        <v>517</v>
      </c>
      <c r="B489" t="s">
        <v>26</v>
      </c>
      <c r="C489" s="1">
        <v>45242</v>
      </c>
      <c r="D489" s="1">
        <v>45253</v>
      </c>
      <c r="E489" t="s">
        <v>27</v>
      </c>
      <c r="F489">
        <v>11</v>
      </c>
      <c r="G489" t="s">
        <v>21</v>
      </c>
      <c r="H489">
        <v>354</v>
      </c>
      <c r="I489">
        <v>27.71</v>
      </c>
      <c r="J489">
        <v>23.87</v>
      </c>
      <c r="K489">
        <v>9809.34</v>
      </c>
      <c r="L489">
        <v>8449.98</v>
      </c>
      <c r="M489">
        <v>0.13857813063875901</v>
      </c>
      <c r="N489">
        <v>39</v>
      </c>
      <c r="O489" t="s">
        <v>30</v>
      </c>
      <c r="P489">
        <v>0.110169491525424</v>
      </c>
      <c r="Q489">
        <v>1359.36</v>
      </c>
    </row>
    <row r="490" spans="1:17" x14ac:dyDescent="0.3">
      <c r="A490" t="s">
        <v>518</v>
      </c>
      <c r="B490" t="s">
        <v>23</v>
      </c>
      <c r="C490" s="1">
        <v>44950</v>
      </c>
      <c r="D490" s="1">
        <v>44960</v>
      </c>
      <c r="E490" t="s">
        <v>24</v>
      </c>
      <c r="F490">
        <v>10</v>
      </c>
      <c r="G490" t="s">
        <v>21</v>
      </c>
      <c r="H490">
        <v>1765</v>
      </c>
      <c r="I490">
        <v>81.010000000000005</v>
      </c>
      <c r="J490">
        <v>78.430000000000007</v>
      </c>
      <c r="K490">
        <v>142982.65</v>
      </c>
      <c r="L490">
        <v>138428.95000000001</v>
      </c>
      <c r="M490">
        <v>3.1847920009875401E-2</v>
      </c>
      <c r="N490">
        <v>78</v>
      </c>
      <c r="O490" t="s">
        <v>18</v>
      </c>
      <c r="P490">
        <v>4.4192634560906503E-2</v>
      </c>
      <c r="Q490">
        <v>4553.7</v>
      </c>
    </row>
    <row r="491" spans="1:17" x14ac:dyDescent="0.3">
      <c r="A491" t="s">
        <v>519</v>
      </c>
      <c r="B491" t="s">
        <v>26</v>
      </c>
      <c r="C491" s="1">
        <v>45255</v>
      </c>
      <c r="D491" s="1">
        <v>45269</v>
      </c>
      <c r="E491" t="s">
        <v>24</v>
      </c>
      <c r="F491">
        <v>14</v>
      </c>
      <c r="G491" t="s">
        <v>21</v>
      </c>
      <c r="H491">
        <v>731</v>
      </c>
      <c r="I491">
        <v>19.37</v>
      </c>
      <c r="J491">
        <v>17.3</v>
      </c>
      <c r="K491">
        <v>14159.47</v>
      </c>
      <c r="L491">
        <v>12646.3</v>
      </c>
      <c r="M491">
        <v>0.10686628807434199</v>
      </c>
      <c r="N491">
        <v>69</v>
      </c>
      <c r="O491" t="s">
        <v>30</v>
      </c>
      <c r="P491">
        <v>9.4391244870040997E-2</v>
      </c>
      <c r="Q491">
        <v>1513.17</v>
      </c>
    </row>
    <row r="492" spans="1:17" x14ac:dyDescent="0.3">
      <c r="A492" t="s">
        <v>520</v>
      </c>
      <c r="B492" t="s">
        <v>32</v>
      </c>
      <c r="C492" s="1">
        <v>44740</v>
      </c>
      <c r="D492" s="1">
        <v>44755</v>
      </c>
      <c r="E492" t="s">
        <v>24</v>
      </c>
      <c r="F492">
        <v>15</v>
      </c>
      <c r="G492" t="s">
        <v>21</v>
      </c>
      <c r="H492">
        <v>887</v>
      </c>
      <c r="I492">
        <v>65.89</v>
      </c>
      <c r="J492">
        <v>59.67</v>
      </c>
      <c r="K492">
        <v>58444.43</v>
      </c>
      <c r="L492">
        <v>52927.29</v>
      </c>
      <c r="M492">
        <v>9.4399757171042598E-2</v>
      </c>
      <c r="N492">
        <v>29</v>
      </c>
      <c r="O492" t="s">
        <v>18</v>
      </c>
      <c r="P492">
        <v>3.2694475760992103E-2</v>
      </c>
      <c r="Q492">
        <v>5517.14</v>
      </c>
    </row>
    <row r="493" spans="1:17" x14ac:dyDescent="0.3">
      <c r="A493" t="s">
        <v>521</v>
      </c>
      <c r="B493" t="s">
        <v>15</v>
      </c>
      <c r="C493" s="1">
        <v>45192</v>
      </c>
      <c r="D493" s="1">
        <v>45194</v>
      </c>
      <c r="E493" t="s">
        <v>24</v>
      </c>
      <c r="F493">
        <v>2</v>
      </c>
      <c r="G493" t="s">
        <v>21</v>
      </c>
      <c r="H493">
        <v>1856</v>
      </c>
      <c r="I493">
        <v>35.29</v>
      </c>
      <c r="J493">
        <v>32.409999999999997</v>
      </c>
      <c r="K493">
        <v>65498.239999999998</v>
      </c>
      <c r="L493">
        <v>60152.959999999999</v>
      </c>
      <c r="M493">
        <v>8.1609521110796404E-2</v>
      </c>
      <c r="N493">
        <v>26</v>
      </c>
      <c r="O493" t="s">
        <v>18</v>
      </c>
      <c r="P493">
        <v>1.40086206896552E-2</v>
      </c>
      <c r="Q493">
        <v>5345.28</v>
      </c>
    </row>
    <row r="494" spans="1:17" x14ac:dyDescent="0.3">
      <c r="A494" t="s">
        <v>522</v>
      </c>
      <c r="B494" t="s">
        <v>32</v>
      </c>
      <c r="C494" s="1">
        <v>45144</v>
      </c>
      <c r="D494" s="1">
        <v>45156</v>
      </c>
      <c r="E494" t="s">
        <v>16</v>
      </c>
      <c r="F494">
        <v>12</v>
      </c>
      <c r="G494" t="s">
        <v>21</v>
      </c>
      <c r="H494">
        <v>1127</v>
      </c>
      <c r="I494">
        <v>49.32</v>
      </c>
      <c r="J494">
        <v>46.49</v>
      </c>
      <c r="K494">
        <v>55583.64</v>
      </c>
      <c r="L494">
        <v>52394.23</v>
      </c>
      <c r="M494">
        <v>5.7380373073803698E-2</v>
      </c>
      <c r="N494">
        <v>30</v>
      </c>
      <c r="O494" t="s">
        <v>18</v>
      </c>
      <c r="P494">
        <v>2.66193433895297E-2</v>
      </c>
      <c r="Q494">
        <v>3189.41</v>
      </c>
    </row>
    <row r="495" spans="1:17" x14ac:dyDescent="0.3">
      <c r="A495" t="s">
        <v>523</v>
      </c>
      <c r="B495" t="s">
        <v>20</v>
      </c>
      <c r="C495" s="1">
        <v>44870</v>
      </c>
      <c r="D495" s="1">
        <v>44884</v>
      </c>
      <c r="E495" t="s">
        <v>29</v>
      </c>
      <c r="F495">
        <v>14</v>
      </c>
      <c r="G495" t="s">
        <v>21</v>
      </c>
      <c r="H495">
        <v>1052</v>
      </c>
      <c r="I495">
        <v>37.78</v>
      </c>
      <c r="J495">
        <v>32.6</v>
      </c>
      <c r="K495">
        <v>39744.559999999998</v>
      </c>
      <c r="L495">
        <v>34295.199999999997</v>
      </c>
      <c r="M495">
        <v>0.13710958178930599</v>
      </c>
      <c r="N495">
        <v>162</v>
      </c>
      <c r="O495" t="s">
        <v>18</v>
      </c>
      <c r="P495">
        <v>0.15399239543726201</v>
      </c>
      <c r="Q495">
        <v>5449.36</v>
      </c>
    </row>
    <row r="496" spans="1:17" x14ac:dyDescent="0.3">
      <c r="A496" t="s">
        <v>524</v>
      </c>
      <c r="B496" t="s">
        <v>23</v>
      </c>
      <c r="C496" s="1">
        <v>44977</v>
      </c>
      <c r="D496" s="1">
        <v>44979</v>
      </c>
      <c r="E496" t="s">
        <v>29</v>
      </c>
      <c r="F496">
        <v>2</v>
      </c>
      <c r="G496" t="s">
        <v>21</v>
      </c>
      <c r="H496">
        <v>493</v>
      </c>
      <c r="I496">
        <v>44.74</v>
      </c>
      <c r="J496">
        <v>41.44</v>
      </c>
      <c r="K496">
        <v>22056.82</v>
      </c>
      <c r="L496">
        <v>20429.919999999998</v>
      </c>
      <c r="M496">
        <v>7.3759499329459202E-2</v>
      </c>
      <c r="N496">
        <v>24</v>
      </c>
      <c r="O496" t="s">
        <v>30</v>
      </c>
      <c r="P496">
        <v>4.8681541582150101E-2</v>
      </c>
      <c r="Q496">
        <v>1626.9</v>
      </c>
    </row>
    <row r="497" spans="1:17" x14ac:dyDescent="0.3">
      <c r="A497" t="s">
        <v>525</v>
      </c>
      <c r="B497" t="s">
        <v>20</v>
      </c>
      <c r="C497" s="1">
        <v>45123</v>
      </c>
      <c r="D497" s="1">
        <v>45136</v>
      </c>
      <c r="E497" t="s">
        <v>24</v>
      </c>
      <c r="F497">
        <v>13</v>
      </c>
      <c r="G497" t="s">
        <v>36</v>
      </c>
      <c r="H497">
        <v>662</v>
      </c>
      <c r="I497">
        <v>81.44</v>
      </c>
      <c r="J497">
        <v>71.33</v>
      </c>
      <c r="K497">
        <v>53913.279999999999</v>
      </c>
      <c r="L497">
        <v>47220.46</v>
      </c>
      <c r="M497">
        <v>0.12414047151277</v>
      </c>
      <c r="N497">
        <v>87</v>
      </c>
      <c r="O497" t="s">
        <v>18</v>
      </c>
      <c r="P497">
        <v>0.13141993957703901</v>
      </c>
      <c r="Q497">
        <v>6692.82</v>
      </c>
    </row>
    <row r="498" spans="1:17" x14ac:dyDescent="0.3">
      <c r="A498" t="s">
        <v>526</v>
      </c>
      <c r="B498" t="s">
        <v>15</v>
      </c>
      <c r="C498" s="1">
        <v>44562</v>
      </c>
      <c r="D498" s="1">
        <v>44568</v>
      </c>
      <c r="E498" t="s">
        <v>29</v>
      </c>
      <c r="F498">
        <v>6</v>
      </c>
      <c r="G498" t="s">
        <v>21</v>
      </c>
      <c r="H498">
        <v>1042</v>
      </c>
      <c r="I498">
        <v>36.74</v>
      </c>
      <c r="J498">
        <v>35.78</v>
      </c>
      <c r="K498">
        <v>38283.08</v>
      </c>
      <c r="L498">
        <v>37282.76</v>
      </c>
      <c r="M498">
        <v>2.6129559063690799E-2</v>
      </c>
      <c r="N498">
        <v>33</v>
      </c>
      <c r="O498" t="s">
        <v>18</v>
      </c>
      <c r="P498">
        <v>3.1669865642994198E-2</v>
      </c>
      <c r="Q498">
        <v>1000.32</v>
      </c>
    </row>
    <row r="499" spans="1:17" x14ac:dyDescent="0.3">
      <c r="A499" t="s">
        <v>527</v>
      </c>
      <c r="B499" t="s">
        <v>15</v>
      </c>
      <c r="C499" s="1">
        <v>44855</v>
      </c>
      <c r="D499" s="1">
        <v>44875</v>
      </c>
      <c r="E499" t="s">
        <v>16</v>
      </c>
      <c r="F499">
        <v>20</v>
      </c>
      <c r="G499" t="s">
        <v>21</v>
      </c>
      <c r="H499">
        <v>1126</v>
      </c>
      <c r="I499">
        <v>55.22</v>
      </c>
      <c r="J499">
        <v>50.38</v>
      </c>
      <c r="K499">
        <v>62177.72</v>
      </c>
      <c r="L499">
        <v>56727.88</v>
      </c>
      <c r="M499">
        <v>8.7649402390438197E-2</v>
      </c>
      <c r="N499">
        <v>0</v>
      </c>
      <c r="O499" t="s">
        <v>18</v>
      </c>
      <c r="P499">
        <v>0</v>
      </c>
      <c r="Q499">
        <v>5449.84</v>
      </c>
    </row>
    <row r="500" spans="1:17" x14ac:dyDescent="0.3">
      <c r="A500" t="s">
        <v>528</v>
      </c>
      <c r="B500" t="s">
        <v>23</v>
      </c>
      <c r="C500" s="1">
        <v>44777</v>
      </c>
      <c r="D500" s="1">
        <v>44792</v>
      </c>
      <c r="E500" t="s">
        <v>24</v>
      </c>
      <c r="F500">
        <v>15</v>
      </c>
      <c r="G500" t="s">
        <v>21</v>
      </c>
      <c r="H500">
        <v>1645</v>
      </c>
      <c r="I500">
        <v>72.17</v>
      </c>
      <c r="J500">
        <v>64</v>
      </c>
      <c r="K500">
        <v>118719.65</v>
      </c>
      <c r="L500">
        <v>105280</v>
      </c>
      <c r="M500">
        <v>0.113204932797561</v>
      </c>
      <c r="N500">
        <v>79</v>
      </c>
      <c r="O500" t="s">
        <v>18</v>
      </c>
      <c r="P500">
        <v>4.8024316109422503E-2</v>
      </c>
      <c r="Q500">
        <v>13439.65</v>
      </c>
    </row>
    <row r="501" spans="1:17" x14ac:dyDescent="0.3">
      <c r="A501" t="s">
        <v>529</v>
      </c>
      <c r="B501" t="s">
        <v>26</v>
      </c>
      <c r="C501" s="1">
        <v>45002</v>
      </c>
      <c r="D501" s="1">
        <v>45005</v>
      </c>
      <c r="E501" t="s">
        <v>27</v>
      </c>
      <c r="F501">
        <v>3</v>
      </c>
      <c r="G501" t="s">
        <v>21</v>
      </c>
      <c r="H501">
        <v>1053</v>
      </c>
      <c r="I501">
        <v>100.92</v>
      </c>
      <c r="J501">
        <v>92.35</v>
      </c>
      <c r="K501">
        <v>106268.76</v>
      </c>
      <c r="L501">
        <v>97244.55</v>
      </c>
      <c r="M501">
        <v>8.4918747522790397E-2</v>
      </c>
      <c r="N501">
        <v>104</v>
      </c>
      <c r="O501" t="s">
        <v>18</v>
      </c>
      <c r="P501">
        <v>9.8765432098765399E-2</v>
      </c>
      <c r="Q501">
        <v>9024.2099999999991</v>
      </c>
    </row>
    <row r="502" spans="1:17" x14ac:dyDescent="0.3">
      <c r="A502" t="s">
        <v>530</v>
      </c>
      <c r="B502" t="s">
        <v>32</v>
      </c>
      <c r="C502" s="1">
        <v>45155</v>
      </c>
      <c r="D502" s="1">
        <v>45167</v>
      </c>
      <c r="E502" t="s">
        <v>24</v>
      </c>
      <c r="F502">
        <v>12</v>
      </c>
      <c r="G502" t="s">
        <v>21</v>
      </c>
      <c r="H502">
        <v>1693</v>
      </c>
      <c r="I502">
        <v>83.14</v>
      </c>
      <c r="J502">
        <v>73.3</v>
      </c>
      <c r="K502">
        <v>140756.01999999999</v>
      </c>
      <c r="L502">
        <v>124096.9</v>
      </c>
      <c r="M502">
        <v>0.11835458263170601</v>
      </c>
      <c r="N502">
        <v>62</v>
      </c>
      <c r="O502" t="s">
        <v>18</v>
      </c>
      <c r="P502">
        <v>3.6621382161842901E-2</v>
      </c>
      <c r="Q502">
        <v>16659.12</v>
      </c>
    </row>
    <row r="503" spans="1:17" x14ac:dyDescent="0.3">
      <c r="A503" t="s">
        <v>531</v>
      </c>
      <c r="B503" t="s">
        <v>32</v>
      </c>
      <c r="C503" s="1">
        <v>45183</v>
      </c>
      <c r="D503" s="1">
        <v>45202</v>
      </c>
      <c r="E503" t="s">
        <v>29</v>
      </c>
      <c r="F503">
        <v>19</v>
      </c>
      <c r="G503" t="s">
        <v>38</v>
      </c>
      <c r="H503">
        <v>54</v>
      </c>
      <c r="I503">
        <v>32.28</v>
      </c>
      <c r="J503">
        <v>28.65</v>
      </c>
      <c r="K503">
        <v>1743.12</v>
      </c>
      <c r="L503">
        <v>1547.1</v>
      </c>
      <c r="M503">
        <v>0.112453531598513</v>
      </c>
      <c r="N503">
        <v>3</v>
      </c>
      <c r="O503" t="s">
        <v>18</v>
      </c>
      <c r="P503">
        <v>5.5555555555555601E-2</v>
      </c>
      <c r="Q503">
        <v>196.02</v>
      </c>
    </row>
    <row r="504" spans="1:17" x14ac:dyDescent="0.3">
      <c r="A504" t="s">
        <v>532</v>
      </c>
      <c r="B504" t="s">
        <v>32</v>
      </c>
      <c r="C504" s="1">
        <v>45232</v>
      </c>
      <c r="D504" s="1">
        <v>45237</v>
      </c>
      <c r="E504" t="s">
        <v>27</v>
      </c>
      <c r="F504">
        <v>5</v>
      </c>
      <c r="G504" t="s">
        <v>21</v>
      </c>
      <c r="H504">
        <v>1176</v>
      </c>
      <c r="I504">
        <v>14.22</v>
      </c>
      <c r="J504">
        <v>12.21</v>
      </c>
      <c r="K504">
        <v>16722.72</v>
      </c>
      <c r="L504">
        <v>14358.96</v>
      </c>
      <c r="M504">
        <v>0.14135021097046399</v>
      </c>
      <c r="N504">
        <v>33</v>
      </c>
      <c r="O504" t="s">
        <v>18</v>
      </c>
      <c r="P504">
        <v>2.8061224489795901E-2</v>
      </c>
      <c r="Q504">
        <v>2363.7600000000002</v>
      </c>
    </row>
    <row r="505" spans="1:17" x14ac:dyDescent="0.3">
      <c r="A505" t="s">
        <v>533</v>
      </c>
      <c r="B505" t="s">
        <v>32</v>
      </c>
      <c r="C505" s="1">
        <v>44891</v>
      </c>
      <c r="D505" s="1">
        <v>44903</v>
      </c>
      <c r="E505" t="s">
        <v>29</v>
      </c>
      <c r="F505">
        <v>12</v>
      </c>
      <c r="G505" t="s">
        <v>21</v>
      </c>
      <c r="H505">
        <v>1269</v>
      </c>
      <c r="I505">
        <v>35.28</v>
      </c>
      <c r="J505">
        <v>33.700000000000003</v>
      </c>
      <c r="K505">
        <v>44770.32</v>
      </c>
      <c r="L505">
        <v>42765.3</v>
      </c>
      <c r="M505">
        <v>4.4784580498866099E-2</v>
      </c>
      <c r="N505">
        <v>35</v>
      </c>
      <c r="O505" t="s">
        <v>18</v>
      </c>
      <c r="P505">
        <v>2.7580772261623299E-2</v>
      </c>
      <c r="Q505">
        <v>2005.02</v>
      </c>
    </row>
    <row r="506" spans="1:17" x14ac:dyDescent="0.3">
      <c r="A506" t="s">
        <v>534</v>
      </c>
      <c r="B506" t="s">
        <v>32</v>
      </c>
      <c r="C506" s="1">
        <v>45038</v>
      </c>
      <c r="D506" s="1">
        <v>45041</v>
      </c>
      <c r="E506" t="s">
        <v>29</v>
      </c>
      <c r="F506">
        <v>3</v>
      </c>
      <c r="G506" t="s">
        <v>21</v>
      </c>
      <c r="H506">
        <v>823</v>
      </c>
      <c r="I506">
        <v>68.319999999999993</v>
      </c>
      <c r="J506">
        <v>64.459999999999994</v>
      </c>
      <c r="K506">
        <v>56227.360000000001</v>
      </c>
      <c r="L506">
        <v>53050.58</v>
      </c>
      <c r="M506">
        <v>5.6498829039812598E-2</v>
      </c>
      <c r="N506">
        <v>19</v>
      </c>
      <c r="O506" t="s">
        <v>18</v>
      </c>
      <c r="P506">
        <v>2.3086269744836001E-2</v>
      </c>
      <c r="Q506">
        <v>3176.78</v>
      </c>
    </row>
    <row r="507" spans="1:17" x14ac:dyDescent="0.3">
      <c r="A507" t="s">
        <v>535</v>
      </c>
      <c r="B507" t="s">
        <v>26</v>
      </c>
      <c r="C507" s="1">
        <v>45014</v>
      </c>
      <c r="D507" s="1">
        <v>45031</v>
      </c>
      <c r="E507" t="s">
        <v>42</v>
      </c>
      <c r="F507">
        <v>17</v>
      </c>
      <c r="G507" t="s">
        <v>21</v>
      </c>
      <c r="H507">
        <v>926</v>
      </c>
      <c r="I507">
        <v>15.65</v>
      </c>
      <c r="J507">
        <v>13.49</v>
      </c>
      <c r="K507">
        <v>14491.9</v>
      </c>
      <c r="L507">
        <v>12491.74</v>
      </c>
      <c r="M507">
        <v>0.13801916932907299</v>
      </c>
      <c r="N507">
        <v>94</v>
      </c>
      <c r="O507" t="s">
        <v>30</v>
      </c>
      <c r="P507">
        <v>0.101511879049676</v>
      </c>
      <c r="Q507">
        <v>2000.16</v>
      </c>
    </row>
    <row r="508" spans="1:17" x14ac:dyDescent="0.3">
      <c r="A508" t="s">
        <v>536</v>
      </c>
      <c r="B508" t="s">
        <v>20</v>
      </c>
      <c r="C508" s="1">
        <v>45014</v>
      </c>
      <c r="D508" s="1">
        <v>45025</v>
      </c>
      <c r="E508" t="s">
        <v>42</v>
      </c>
      <c r="F508">
        <v>11</v>
      </c>
      <c r="G508" t="s">
        <v>17</v>
      </c>
      <c r="H508">
        <v>1041</v>
      </c>
      <c r="I508">
        <v>58.5</v>
      </c>
      <c r="J508">
        <v>52.54</v>
      </c>
      <c r="K508">
        <v>60898.5</v>
      </c>
      <c r="L508">
        <v>54694.14</v>
      </c>
      <c r="M508">
        <v>0.10188034188034201</v>
      </c>
      <c r="N508">
        <v>170</v>
      </c>
      <c r="O508" t="s">
        <v>30</v>
      </c>
      <c r="P508">
        <v>0.16330451488952899</v>
      </c>
      <c r="Q508">
        <v>6204.36</v>
      </c>
    </row>
    <row r="509" spans="1:17" x14ac:dyDescent="0.3">
      <c r="A509" t="s">
        <v>537</v>
      </c>
      <c r="B509" t="s">
        <v>23</v>
      </c>
      <c r="C509" s="1">
        <v>45253</v>
      </c>
      <c r="D509" s="1">
        <v>45261</v>
      </c>
      <c r="E509" t="s">
        <v>42</v>
      </c>
      <c r="F509">
        <v>8</v>
      </c>
      <c r="G509" t="s">
        <v>38</v>
      </c>
      <c r="H509">
        <v>933</v>
      </c>
      <c r="I509">
        <v>70.72</v>
      </c>
      <c r="J509">
        <v>65.47</v>
      </c>
      <c r="K509">
        <v>65981.759999999995</v>
      </c>
      <c r="L509">
        <v>61083.51</v>
      </c>
      <c r="M509">
        <v>7.4236425339366405E-2</v>
      </c>
      <c r="N509">
        <v>42</v>
      </c>
      <c r="O509" t="s">
        <v>18</v>
      </c>
      <c r="P509">
        <v>4.5016077170418001E-2</v>
      </c>
      <c r="Q509">
        <v>4898.25</v>
      </c>
    </row>
    <row r="510" spans="1:17" x14ac:dyDescent="0.3">
      <c r="A510" t="s">
        <v>538</v>
      </c>
      <c r="B510" t="s">
        <v>20</v>
      </c>
      <c r="C510" s="1">
        <v>45085</v>
      </c>
      <c r="D510" s="1">
        <v>45091</v>
      </c>
      <c r="E510" t="s">
        <v>24</v>
      </c>
      <c r="F510">
        <v>6</v>
      </c>
      <c r="G510" t="s">
        <v>21</v>
      </c>
      <c r="H510">
        <v>96</v>
      </c>
      <c r="I510">
        <v>86.13</v>
      </c>
      <c r="J510">
        <v>80.319999999999993</v>
      </c>
      <c r="K510">
        <v>8268.48</v>
      </c>
      <c r="L510">
        <v>7710.72</v>
      </c>
      <c r="M510">
        <v>6.7456170904446805E-2</v>
      </c>
      <c r="N510">
        <v>12</v>
      </c>
      <c r="O510" t="s">
        <v>30</v>
      </c>
      <c r="P510">
        <v>0.125</v>
      </c>
      <c r="Q510">
        <v>557.76</v>
      </c>
    </row>
    <row r="511" spans="1:17" x14ac:dyDescent="0.3">
      <c r="A511" t="s">
        <v>539</v>
      </c>
      <c r="B511" t="s">
        <v>32</v>
      </c>
      <c r="C511" s="1">
        <v>45046</v>
      </c>
      <c r="D511" s="1">
        <v>45059</v>
      </c>
      <c r="E511" t="s">
        <v>24</v>
      </c>
      <c r="F511">
        <v>13</v>
      </c>
      <c r="G511" t="s">
        <v>21</v>
      </c>
      <c r="H511">
        <v>916</v>
      </c>
      <c r="I511">
        <v>21.06</v>
      </c>
      <c r="J511">
        <v>19.53</v>
      </c>
      <c r="K511">
        <v>19290.96</v>
      </c>
      <c r="L511">
        <v>17889.48</v>
      </c>
      <c r="M511">
        <v>7.26495726495726E-2</v>
      </c>
      <c r="N511">
        <v>25</v>
      </c>
      <c r="O511" t="s">
        <v>18</v>
      </c>
      <c r="P511">
        <v>2.7292576419213999E-2</v>
      </c>
      <c r="Q511">
        <v>1401.48</v>
      </c>
    </row>
    <row r="512" spans="1:17" x14ac:dyDescent="0.3">
      <c r="A512" t="s">
        <v>540</v>
      </c>
      <c r="B512" t="s">
        <v>26</v>
      </c>
      <c r="C512" s="1">
        <v>45236</v>
      </c>
      <c r="D512" s="1">
        <v>45245</v>
      </c>
      <c r="E512" t="s">
        <v>42</v>
      </c>
      <c r="F512">
        <v>9</v>
      </c>
      <c r="G512" t="s">
        <v>21</v>
      </c>
      <c r="H512">
        <v>985</v>
      </c>
      <c r="I512">
        <v>83.85</v>
      </c>
      <c r="J512">
        <v>80.88</v>
      </c>
      <c r="K512">
        <v>82592.25</v>
      </c>
      <c r="L512">
        <v>79666.8</v>
      </c>
      <c r="M512">
        <v>3.5420393559928598E-2</v>
      </c>
      <c r="N512">
        <v>0</v>
      </c>
      <c r="O512" t="s">
        <v>30</v>
      </c>
      <c r="P512">
        <v>0</v>
      </c>
      <c r="Q512">
        <v>2925.45</v>
      </c>
    </row>
    <row r="513" spans="1:17" x14ac:dyDescent="0.3">
      <c r="A513" t="s">
        <v>541</v>
      </c>
      <c r="B513" t="s">
        <v>23</v>
      </c>
      <c r="C513" s="1">
        <v>44648</v>
      </c>
      <c r="D513" s="1">
        <v>44655</v>
      </c>
      <c r="E513" t="s">
        <v>29</v>
      </c>
      <c r="F513">
        <v>7</v>
      </c>
      <c r="G513" t="s">
        <v>21</v>
      </c>
      <c r="H513">
        <v>1893</v>
      </c>
      <c r="I513">
        <v>55.14</v>
      </c>
      <c r="J513">
        <v>50.1</v>
      </c>
      <c r="K513">
        <v>104380.02</v>
      </c>
      <c r="L513">
        <v>94839.3</v>
      </c>
      <c r="M513">
        <v>9.14036996735582E-2</v>
      </c>
      <c r="N513">
        <v>98</v>
      </c>
      <c r="O513" t="s">
        <v>18</v>
      </c>
      <c r="P513">
        <v>5.1769677760168997E-2</v>
      </c>
      <c r="Q513">
        <v>9540.7199999999993</v>
      </c>
    </row>
    <row r="514" spans="1:17" x14ac:dyDescent="0.3">
      <c r="A514" t="s">
        <v>542</v>
      </c>
      <c r="B514" t="s">
        <v>20</v>
      </c>
      <c r="C514" s="1">
        <v>45089</v>
      </c>
      <c r="D514" s="1">
        <v>45105</v>
      </c>
      <c r="E514" t="s">
        <v>24</v>
      </c>
      <c r="F514">
        <v>16</v>
      </c>
      <c r="G514" t="s">
        <v>21</v>
      </c>
      <c r="H514">
        <v>318</v>
      </c>
      <c r="I514">
        <v>53.31</v>
      </c>
      <c r="J514">
        <v>51.78</v>
      </c>
      <c r="K514">
        <v>16952.580000000002</v>
      </c>
      <c r="L514">
        <v>16466.04</v>
      </c>
      <c r="M514">
        <v>2.87000562746202E-2</v>
      </c>
      <c r="N514">
        <v>0</v>
      </c>
      <c r="O514" t="s">
        <v>30</v>
      </c>
      <c r="P514">
        <v>0</v>
      </c>
      <c r="Q514">
        <v>486.54</v>
      </c>
    </row>
    <row r="515" spans="1:17" x14ac:dyDescent="0.3">
      <c r="A515" t="s">
        <v>543</v>
      </c>
      <c r="B515" t="s">
        <v>15</v>
      </c>
      <c r="C515" s="1">
        <v>45241</v>
      </c>
      <c r="D515" s="1">
        <v>45246</v>
      </c>
      <c r="E515" t="s">
        <v>16</v>
      </c>
      <c r="F515">
        <v>5</v>
      </c>
      <c r="G515" t="s">
        <v>38</v>
      </c>
      <c r="H515">
        <v>419</v>
      </c>
      <c r="I515">
        <v>35.72</v>
      </c>
      <c r="J515">
        <v>32.74</v>
      </c>
      <c r="K515">
        <v>14966.68</v>
      </c>
      <c r="L515">
        <v>13718.06</v>
      </c>
      <c r="M515">
        <v>8.3426651735722196E-2</v>
      </c>
      <c r="N515">
        <v>7</v>
      </c>
      <c r="O515" t="s">
        <v>18</v>
      </c>
      <c r="P515">
        <v>1.67064439140811E-2</v>
      </c>
      <c r="Q515">
        <v>1248.6199999999999</v>
      </c>
    </row>
    <row r="516" spans="1:17" x14ac:dyDescent="0.3">
      <c r="A516" t="s">
        <v>544</v>
      </c>
      <c r="B516" t="s">
        <v>23</v>
      </c>
      <c r="C516" s="1">
        <v>45210</v>
      </c>
      <c r="D516" s="1">
        <v>45225</v>
      </c>
      <c r="E516" t="s">
        <v>24</v>
      </c>
      <c r="F516">
        <v>15</v>
      </c>
      <c r="G516" t="s">
        <v>21</v>
      </c>
      <c r="H516">
        <v>685</v>
      </c>
      <c r="I516">
        <v>92.51</v>
      </c>
      <c r="J516">
        <v>90.05</v>
      </c>
      <c r="K516">
        <v>63369.35</v>
      </c>
      <c r="L516">
        <v>61684.25</v>
      </c>
      <c r="M516">
        <v>2.65917198140742E-2</v>
      </c>
      <c r="N516">
        <v>38</v>
      </c>
      <c r="O516" t="s">
        <v>18</v>
      </c>
      <c r="P516">
        <v>5.5474452554744501E-2</v>
      </c>
      <c r="Q516">
        <v>1685.1</v>
      </c>
    </row>
    <row r="517" spans="1:17" x14ac:dyDescent="0.3">
      <c r="A517" t="s">
        <v>545</v>
      </c>
      <c r="B517" t="s">
        <v>20</v>
      </c>
      <c r="C517" s="1">
        <v>45196</v>
      </c>
      <c r="D517" s="1">
        <v>45211</v>
      </c>
      <c r="E517" t="s">
        <v>16</v>
      </c>
      <c r="F517">
        <v>15</v>
      </c>
      <c r="G517" t="s">
        <v>36</v>
      </c>
      <c r="H517">
        <v>1179</v>
      </c>
      <c r="I517">
        <v>90.14</v>
      </c>
      <c r="J517">
        <v>82.63</v>
      </c>
      <c r="K517">
        <v>106275.06</v>
      </c>
      <c r="L517">
        <v>97420.77</v>
      </c>
      <c r="M517">
        <v>8.3314843576658595E-2</v>
      </c>
      <c r="N517">
        <v>194</v>
      </c>
      <c r="O517" t="s">
        <v>18</v>
      </c>
      <c r="P517">
        <v>0.16454622561492799</v>
      </c>
      <c r="Q517">
        <v>8854.2900000000009</v>
      </c>
    </row>
    <row r="518" spans="1:17" x14ac:dyDescent="0.3">
      <c r="A518" t="s">
        <v>546</v>
      </c>
      <c r="B518" t="s">
        <v>15</v>
      </c>
      <c r="C518" s="1">
        <v>44657</v>
      </c>
      <c r="D518" s="1">
        <v>44668</v>
      </c>
      <c r="E518" t="s">
        <v>24</v>
      </c>
      <c r="F518">
        <v>11</v>
      </c>
      <c r="G518" t="s">
        <v>21</v>
      </c>
      <c r="H518">
        <v>1732</v>
      </c>
      <c r="I518">
        <v>35.01</v>
      </c>
      <c r="J518">
        <v>34.18</v>
      </c>
      <c r="K518">
        <v>60637.32</v>
      </c>
      <c r="L518">
        <v>59199.76</v>
      </c>
      <c r="M518">
        <v>2.3707512139388699E-2</v>
      </c>
      <c r="N518">
        <v>40</v>
      </c>
      <c r="O518" t="s">
        <v>18</v>
      </c>
      <c r="P518">
        <v>2.3094688221709E-2</v>
      </c>
      <c r="Q518">
        <v>1437.56</v>
      </c>
    </row>
    <row r="519" spans="1:17" x14ac:dyDescent="0.3">
      <c r="A519" t="s">
        <v>547</v>
      </c>
      <c r="B519" t="s">
        <v>26</v>
      </c>
      <c r="C519" s="1">
        <v>44802</v>
      </c>
      <c r="D519" s="1">
        <v>44805</v>
      </c>
      <c r="E519" t="s">
        <v>16</v>
      </c>
      <c r="F519">
        <v>3</v>
      </c>
      <c r="G519" t="s">
        <v>21</v>
      </c>
      <c r="H519">
        <v>706</v>
      </c>
      <c r="I519">
        <v>65.33</v>
      </c>
      <c r="J519">
        <v>62.06</v>
      </c>
      <c r="K519">
        <v>46122.98</v>
      </c>
      <c r="L519">
        <v>43814.36</v>
      </c>
      <c r="M519">
        <v>5.0053574161946897E-2</v>
      </c>
      <c r="N519">
        <v>60</v>
      </c>
      <c r="O519" t="s">
        <v>30</v>
      </c>
      <c r="P519">
        <v>8.4985835694051007E-2</v>
      </c>
      <c r="Q519">
        <v>2308.62</v>
      </c>
    </row>
    <row r="520" spans="1:17" x14ac:dyDescent="0.3">
      <c r="A520" t="s">
        <v>548</v>
      </c>
      <c r="B520" t="s">
        <v>23</v>
      </c>
      <c r="C520" s="1">
        <v>45250</v>
      </c>
      <c r="D520" s="1">
        <v>45260</v>
      </c>
      <c r="E520" t="s">
        <v>24</v>
      </c>
      <c r="F520">
        <v>10</v>
      </c>
      <c r="G520" t="s">
        <v>17</v>
      </c>
      <c r="H520">
        <v>169</v>
      </c>
      <c r="I520">
        <v>47.16</v>
      </c>
      <c r="J520">
        <v>43.4</v>
      </c>
      <c r="K520">
        <v>7970.04</v>
      </c>
      <c r="L520">
        <v>7334.6</v>
      </c>
      <c r="M520">
        <v>7.9728583545377402E-2</v>
      </c>
      <c r="N520">
        <v>0</v>
      </c>
      <c r="O520" t="s">
        <v>18</v>
      </c>
      <c r="P520">
        <v>0</v>
      </c>
      <c r="Q520">
        <v>635.44000000000005</v>
      </c>
    </row>
    <row r="521" spans="1:17" x14ac:dyDescent="0.3">
      <c r="A521" t="s">
        <v>549</v>
      </c>
      <c r="B521" t="s">
        <v>23</v>
      </c>
      <c r="C521" s="1">
        <v>44879</v>
      </c>
      <c r="D521" s="1">
        <v>44885</v>
      </c>
      <c r="E521" t="s">
        <v>16</v>
      </c>
      <c r="F521">
        <v>6</v>
      </c>
      <c r="G521" t="s">
        <v>38</v>
      </c>
      <c r="H521">
        <v>880</v>
      </c>
      <c r="I521">
        <v>19.149999999999999</v>
      </c>
      <c r="J521">
        <v>18.690000000000001</v>
      </c>
      <c r="K521">
        <v>16852</v>
      </c>
      <c r="L521">
        <v>16447.2</v>
      </c>
      <c r="M521">
        <v>2.4020887728459499E-2</v>
      </c>
      <c r="N521">
        <v>0</v>
      </c>
      <c r="O521" t="s">
        <v>30</v>
      </c>
      <c r="P521">
        <v>0</v>
      </c>
      <c r="Q521">
        <v>404.8</v>
      </c>
    </row>
    <row r="522" spans="1:17" x14ac:dyDescent="0.3">
      <c r="A522" t="s">
        <v>550</v>
      </c>
      <c r="B522" t="s">
        <v>23</v>
      </c>
      <c r="C522" s="1">
        <v>44792</v>
      </c>
      <c r="D522" s="1">
        <v>44798</v>
      </c>
      <c r="E522" t="s">
        <v>24</v>
      </c>
      <c r="F522">
        <v>6</v>
      </c>
      <c r="G522" t="s">
        <v>21</v>
      </c>
      <c r="H522">
        <v>1860</v>
      </c>
      <c r="I522">
        <v>95.8</v>
      </c>
      <c r="J522">
        <v>92.17</v>
      </c>
      <c r="K522">
        <v>178188</v>
      </c>
      <c r="L522">
        <v>171436.2</v>
      </c>
      <c r="M522">
        <v>3.7891440501043802E-2</v>
      </c>
      <c r="N522">
        <v>105</v>
      </c>
      <c r="O522" t="s">
        <v>30</v>
      </c>
      <c r="P522">
        <v>5.6451612903225798E-2</v>
      </c>
      <c r="Q522">
        <v>6751.8</v>
      </c>
    </row>
    <row r="523" spans="1:17" x14ac:dyDescent="0.3">
      <c r="A523" t="s">
        <v>551</v>
      </c>
      <c r="B523" t="s">
        <v>20</v>
      </c>
      <c r="C523" s="1">
        <v>44765</v>
      </c>
      <c r="D523" s="1">
        <v>44782</v>
      </c>
      <c r="E523" t="s">
        <v>24</v>
      </c>
      <c r="F523">
        <v>17</v>
      </c>
      <c r="G523" t="s">
        <v>21</v>
      </c>
      <c r="H523">
        <v>1677</v>
      </c>
      <c r="I523">
        <v>22.98</v>
      </c>
      <c r="J523">
        <v>21.71</v>
      </c>
      <c r="K523">
        <v>38537.46</v>
      </c>
      <c r="L523">
        <v>36407.67</v>
      </c>
      <c r="M523">
        <v>5.5265448215839903E-2</v>
      </c>
      <c r="N523">
        <v>246</v>
      </c>
      <c r="O523" t="s">
        <v>18</v>
      </c>
      <c r="P523">
        <v>0.146690518783542</v>
      </c>
      <c r="Q523">
        <v>2129.79</v>
      </c>
    </row>
    <row r="524" spans="1:17" x14ac:dyDescent="0.3">
      <c r="A524" t="s">
        <v>552</v>
      </c>
      <c r="B524" t="s">
        <v>26</v>
      </c>
      <c r="C524" s="1">
        <v>44712</v>
      </c>
      <c r="D524" s="1">
        <v>44719</v>
      </c>
      <c r="E524" t="s">
        <v>27</v>
      </c>
      <c r="F524">
        <v>7</v>
      </c>
      <c r="G524" t="s">
        <v>36</v>
      </c>
      <c r="H524">
        <v>1131</v>
      </c>
      <c r="I524">
        <v>97.43</v>
      </c>
      <c r="J524">
        <v>91.28</v>
      </c>
      <c r="K524">
        <v>110193.33</v>
      </c>
      <c r="L524">
        <v>103237.68</v>
      </c>
      <c r="M524">
        <v>6.3122241609360502E-2</v>
      </c>
      <c r="N524">
        <v>103</v>
      </c>
      <c r="O524" t="s">
        <v>18</v>
      </c>
      <c r="P524">
        <v>9.1069849690539398E-2</v>
      </c>
      <c r="Q524">
        <v>6955.65</v>
      </c>
    </row>
    <row r="525" spans="1:17" x14ac:dyDescent="0.3">
      <c r="A525" t="s">
        <v>553</v>
      </c>
      <c r="B525" t="s">
        <v>32</v>
      </c>
      <c r="C525" s="1">
        <v>44587</v>
      </c>
      <c r="D525" s="1">
        <v>44595</v>
      </c>
      <c r="E525" t="s">
        <v>29</v>
      </c>
      <c r="F525">
        <v>8</v>
      </c>
      <c r="G525" t="s">
        <v>17</v>
      </c>
      <c r="H525">
        <v>1419</v>
      </c>
      <c r="I525">
        <v>50.14</v>
      </c>
      <c r="J525">
        <v>43.46</v>
      </c>
      <c r="K525">
        <v>71148.66</v>
      </c>
      <c r="L525">
        <v>61669.74</v>
      </c>
      <c r="M525">
        <v>0.133226964499402</v>
      </c>
      <c r="N525">
        <v>0</v>
      </c>
      <c r="O525" t="s">
        <v>18</v>
      </c>
      <c r="P525">
        <v>0</v>
      </c>
      <c r="Q525">
        <v>9478.92</v>
      </c>
    </row>
    <row r="526" spans="1:17" x14ac:dyDescent="0.3">
      <c r="A526" t="s">
        <v>554</v>
      </c>
      <c r="B526" t="s">
        <v>20</v>
      </c>
      <c r="C526" s="1">
        <v>44609</v>
      </c>
      <c r="D526" s="1">
        <v>44610</v>
      </c>
      <c r="E526" t="s">
        <v>29</v>
      </c>
      <c r="F526">
        <v>1</v>
      </c>
      <c r="G526" t="s">
        <v>38</v>
      </c>
      <c r="H526">
        <v>790</v>
      </c>
      <c r="I526">
        <v>26.8</v>
      </c>
      <c r="J526">
        <v>25.62</v>
      </c>
      <c r="K526">
        <v>21172</v>
      </c>
      <c r="L526">
        <v>20239.8</v>
      </c>
      <c r="M526">
        <v>4.4029850746268702E-2</v>
      </c>
      <c r="N526">
        <v>115</v>
      </c>
      <c r="O526" t="s">
        <v>18</v>
      </c>
      <c r="P526">
        <v>0.145569620253165</v>
      </c>
      <c r="Q526">
        <v>932.2</v>
      </c>
    </row>
    <row r="527" spans="1:17" x14ac:dyDescent="0.3">
      <c r="A527" t="s">
        <v>555</v>
      </c>
      <c r="B527" t="s">
        <v>23</v>
      </c>
      <c r="C527" s="1">
        <v>44812</v>
      </c>
      <c r="D527" s="1">
        <v>44831</v>
      </c>
      <c r="E527" t="s">
        <v>24</v>
      </c>
      <c r="F527">
        <v>19</v>
      </c>
      <c r="G527" t="s">
        <v>38</v>
      </c>
      <c r="H527">
        <v>1547</v>
      </c>
      <c r="I527">
        <v>61.12</v>
      </c>
      <c r="J527">
        <v>53.43</v>
      </c>
      <c r="K527">
        <v>94552.639999999999</v>
      </c>
      <c r="L527">
        <v>82656.210000000006</v>
      </c>
      <c r="M527">
        <v>0.12581806282722499</v>
      </c>
      <c r="N527">
        <v>77</v>
      </c>
      <c r="O527" t="s">
        <v>18</v>
      </c>
      <c r="P527">
        <v>4.9773755656108601E-2</v>
      </c>
      <c r="Q527">
        <v>11896.43</v>
      </c>
    </row>
    <row r="528" spans="1:17" x14ac:dyDescent="0.3">
      <c r="A528" t="s">
        <v>556</v>
      </c>
      <c r="B528" t="s">
        <v>20</v>
      </c>
      <c r="C528" s="1">
        <v>45048</v>
      </c>
      <c r="D528" s="1">
        <v>45066</v>
      </c>
      <c r="E528" t="s">
        <v>16</v>
      </c>
      <c r="F528">
        <v>18</v>
      </c>
      <c r="G528" t="s">
        <v>17</v>
      </c>
      <c r="H528">
        <v>166</v>
      </c>
      <c r="I528">
        <v>95.65</v>
      </c>
      <c r="J528">
        <v>94.48</v>
      </c>
      <c r="K528">
        <v>15877.9</v>
      </c>
      <c r="L528">
        <v>15683.68</v>
      </c>
      <c r="M528">
        <v>1.2232096184004299E-2</v>
      </c>
      <c r="N528">
        <v>23</v>
      </c>
      <c r="O528" t="s">
        <v>18</v>
      </c>
      <c r="P528">
        <v>0.13855421686746999</v>
      </c>
      <c r="Q528">
        <v>194.22</v>
      </c>
    </row>
    <row r="529" spans="1:17" x14ac:dyDescent="0.3">
      <c r="A529" t="s">
        <v>557</v>
      </c>
      <c r="B529" t="s">
        <v>15</v>
      </c>
      <c r="C529" s="1">
        <v>45187</v>
      </c>
      <c r="D529" s="1">
        <v>45190</v>
      </c>
      <c r="E529" t="s">
        <v>42</v>
      </c>
      <c r="F529">
        <v>3</v>
      </c>
      <c r="G529" t="s">
        <v>21</v>
      </c>
      <c r="H529">
        <v>1903</v>
      </c>
      <c r="I529">
        <v>83.49</v>
      </c>
      <c r="J529">
        <v>82.33</v>
      </c>
      <c r="K529">
        <v>158881.47</v>
      </c>
      <c r="L529">
        <v>156673.99</v>
      </c>
      <c r="M529">
        <v>1.38938795065278E-2</v>
      </c>
      <c r="N529">
        <v>43</v>
      </c>
      <c r="O529" t="s">
        <v>18</v>
      </c>
      <c r="P529">
        <v>2.2595901208617999E-2</v>
      </c>
      <c r="Q529">
        <v>2207.48</v>
      </c>
    </row>
    <row r="530" spans="1:17" x14ac:dyDescent="0.3">
      <c r="A530" t="s">
        <v>558</v>
      </c>
      <c r="B530" t="s">
        <v>20</v>
      </c>
      <c r="C530" s="1">
        <v>44636</v>
      </c>
      <c r="D530" s="1">
        <v>44649</v>
      </c>
      <c r="E530" t="s">
        <v>16</v>
      </c>
      <c r="F530">
        <v>13</v>
      </c>
      <c r="G530" t="s">
        <v>36</v>
      </c>
      <c r="H530">
        <v>840</v>
      </c>
      <c r="I530">
        <v>83.42</v>
      </c>
      <c r="J530">
        <v>80.349999999999994</v>
      </c>
      <c r="K530">
        <v>70072.800000000003</v>
      </c>
      <c r="L530">
        <v>67494</v>
      </c>
      <c r="M530">
        <v>3.6801726204747101E-2</v>
      </c>
      <c r="N530">
        <v>153</v>
      </c>
      <c r="O530" t="s">
        <v>18</v>
      </c>
      <c r="P530">
        <v>0.182142857142857</v>
      </c>
      <c r="Q530">
        <v>2578.8000000000002</v>
      </c>
    </row>
    <row r="531" spans="1:17" x14ac:dyDescent="0.3">
      <c r="A531" t="s">
        <v>559</v>
      </c>
      <c r="B531" t="s">
        <v>23</v>
      </c>
      <c r="C531" s="1">
        <v>44986</v>
      </c>
      <c r="D531" s="1">
        <v>45003</v>
      </c>
      <c r="E531" t="s">
        <v>29</v>
      </c>
      <c r="F531">
        <v>17</v>
      </c>
      <c r="G531" t="s">
        <v>21</v>
      </c>
      <c r="H531">
        <v>1466</v>
      </c>
      <c r="I531">
        <v>77.37</v>
      </c>
      <c r="J531">
        <v>70.349999999999994</v>
      </c>
      <c r="K531">
        <v>113424.42</v>
      </c>
      <c r="L531">
        <v>103133.1</v>
      </c>
      <c r="M531">
        <v>9.07328421868943E-2</v>
      </c>
      <c r="N531">
        <v>72</v>
      </c>
      <c r="O531" t="s">
        <v>18</v>
      </c>
      <c r="P531">
        <v>4.9113233287858098E-2</v>
      </c>
      <c r="Q531">
        <v>10291.32</v>
      </c>
    </row>
    <row r="532" spans="1:17" x14ac:dyDescent="0.3">
      <c r="A532" t="s">
        <v>560</v>
      </c>
      <c r="B532" t="s">
        <v>15</v>
      </c>
      <c r="C532" s="1">
        <v>45206</v>
      </c>
      <c r="D532" s="1">
        <v>45220</v>
      </c>
      <c r="E532" t="s">
        <v>16</v>
      </c>
      <c r="F532">
        <v>14</v>
      </c>
      <c r="G532" t="s">
        <v>21</v>
      </c>
      <c r="H532">
        <v>1981</v>
      </c>
      <c r="I532">
        <v>95.5</v>
      </c>
      <c r="J532">
        <v>94.39</v>
      </c>
      <c r="K532">
        <v>189185.5</v>
      </c>
      <c r="L532">
        <v>186986.59</v>
      </c>
      <c r="M532">
        <v>1.1623036649214699E-2</v>
      </c>
      <c r="N532">
        <v>49</v>
      </c>
      <c r="O532" t="s">
        <v>18</v>
      </c>
      <c r="P532">
        <v>2.47349823321555E-2</v>
      </c>
      <c r="Q532">
        <v>2198.91</v>
      </c>
    </row>
    <row r="533" spans="1:17" x14ac:dyDescent="0.3">
      <c r="A533" t="s">
        <v>561</v>
      </c>
      <c r="B533" t="s">
        <v>23</v>
      </c>
      <c r="C533" s="1">
        <v>45151</v>
      </c>
      <c r="D533" s="1">
        <v>45154</v>
      </c>
      <c r="E533" t="s">
        <v>27</v>
      </c>
      <c r="F533">
        <v>3</v>
      </c>
      <c r="G533" t="s">
        <v>21</v>
      </c>
      <c r="H533">
        <v>1062</v>
      </c>
      <c r="I533">
        <v>35.549999999999997</v>
      </c>
      <c r="J533">
        <v>32.380000000000003</v>
      </c>
      <c r="K533">
        <v>37754.1</v>
      </c>
      <c r="L533">
        <v>34387.56</v>
      </c>
      <c r="M533">
        <v>8.9170182841068799E-2</v>
      </c>
      <c r="N533">
        <v>0</v>
      </c>
      <c r="O533" t="s">
        <v>18</v>
      </c>
      <c r="P533">
        <v>0</v>
      </c>
      <c r="Q533">
        <v>3366.54</v>
      </c>
    </row>
    <row r="534" spans="1:17" x14ac:dyDescent="0.3">
      <c r="A534" t="s">
        <v>562</v>
      </c>
      <c r="B534" t="s">
        <v>15</v>
      </c>
      <c r="C534" s="1">
        <v>44761</v>
      </c>
      <c r="D534" s="1">
        <v>44772</v>
      </c>
      <c r="E534" t="s">
        <v>24</v>
      </c>
      <c r="F534">
        <v>11</v>
      </c>
      <c r="G534" t="s">
        <v>21</v>
      </c>
      <c r="H534">
        <v>1714</v>
      </c>
      <c r="I534">
        <v>55.67</v>
      </c>
      <c r="J534">
        <v>55.09</v>
      </c>
      <c r="K534">
        <v>95418.38</v>
      </c>
      <c r="L534">
        <v>94424.26</v>
      </c>
      <c r="M534">
        <v>1.0418537812107E-2</v>
      </c>
      <c r="N534">
        <v>42</v>
      </c>
      <c r="O534" t="s">
        <v>18</v>
      </c>
      <c r="P534">
        <v>2.4504084014002302E-2</v>
      </c>
      <c r="Q534">
        <v>994.12</v>
      </c>
    </row>
    <row r="535" spans="1:17" x14ac:dyDescent="0.3">
      <c r="A535" t="s">
        <v>563</v>
      </c>
      <c r="B535" t="s">
        <v>15</v>
      </c>
      <c r="C535" s="1">
        <v>45275</v>
      </c>
      <c r="D535" s="1">
        <v>45290</v>
      </c>
      <c r="E535" t="s">
        <v>16</v>
      </c>
      <c r="F535">
        <v>15</v>
      </c>
      <c r="G535" t="s">
        <v>21</v>
      </c>
      <c r="H535">
        <v>1131</v>
      </c>
      <c r="I535">
        <v>33.35</v>
      </c>
      <c r="J535">
        <v>31.28</v>
      </c>
      <c r="K535">
        <v>37718.85</v>
      </c>
      <c r="L535">
        <v>35377.68</v>
      </c>
      <c r="M535">
        <v>6.2068965517241302E-2</v>
      </c>
      <c r="N535">
        <v>23</v>
      </c>
      <c r="O535" t="s">
        <v>18</v>
      </c>
      <c r="P535">
        <v>2.0335985853227202E-2</v>
      </c>
      <c r="Q535">
        <v>2341.17</v>
      </c>
    </row>
    <row r="536" spans="1:17" x14ac:dyDescent="0.3">
      <c r="A536" t="s">
        <v>564</v>
      </c>
      <c r="B536" t="s">
        <v>15</v>
      </c>
      <c r="C536" s="1">
        <v>44955</v>
      </c>
      <c r="D536" s="1">
        <v>44972</v>
      </c>
      <c r="E536" t="s">
        <v>16</v>
      </c>
      <c r="F536">
        <v>17</v>
      </c>
      <c r="G536" t="s">
        <v>21</v>
      </c>
      <c r="H536">
        <v>683</v>
      </c>
      <c r="I536">
        <v>104.82</v>
      </c>
      <c r="J536">
        <v>101.34</v>
      </c>
      <c r="K536">
        <v>71592.06</v>
      </c>
      <c r="L536">
        <v>69215.22</v>
      </c>
      <c r="M536">
        <v>3.3199771036061802E-2</v>
      </c>
      <c r="N536">
        <v>0</v>
      </c>
      <c r="O536" t="s">
        <v>18</v>
      </c>
      <c r="P536">
        <v>0</v>
      </c>
      <c r="Q536">
        <v>2376.84</v>
      </c>
    </row>
    <row r="537" spans="1:17" x14ac:dyDescent="0.3">
      <c r="A537" t="s">
        <v>565</v>
      </c>
      <c r="B537" t="s">
        <v>23</v>
      </c>
      <c r="C537" s="1">
        <v>45068</v>
      </c>
      <c r="D537" s="1">
        <v>45086</v>
      </c>
      <c r="E537" t="s">
        <v>27</v>
      </c>
      <c r="F537">
        <v>18</v>
      </c>
      <c r="G537" t="s">
        <v>36</v>
      </c>
      <c r="H537">
        <v>562</v>
      </c>
      <c r="I537">
        <v>102.56</v>
      </c>
      <c r="J537">
        <v>90.88</v>
      </c>
      <c r="K537">
        <v>57638.720000000001</v>
      </c>
      <c r="L537">
        <v>51074.559999999998</v>
      </c>
      <c r="M537">
        <v>0.11388455538221499</v>
      </c>
      <c r="N537">
        <v>38</v>
      </c>
      <c r="O537" t="s">
        <v>18</v>
      </c>
      <c r="P537">
        <v>6.76156583629893E-2</v>
      </c>
      <c r="Q537">
        <v>6564.16</v>
      </c>
    </row>
    <row r="538" spans="1:17" x14ac:dyDescent="0.3">
      <c r="A538" t="s">
        <v>566</v>
      </c>
      <c r="B538" t="s">
        <v>15</v>
      </c>
      <c r="C538" s="1">
        <v>44971</v>
      </c>
      <c r="D538" s="1">
        <v>44977</v>
      </c>
      <c r="E538" t="s">
        <v>42</v>
      </c>
      <c r="F538">
        <v>6</v>
      </c>
      <c r="G538" t="s">
        <v>21</v>
      </c>
      <c r="H538">
        <v>1824</v>
      </c>
      <c r="I538">
        <v>14.43</v>
      </c>
      <c r="J538">
        <v>14.11</v>
      </c>
      <c r="K538">
        <v>26320.32</v>
      </c>
      <c r="L538">
        <v>25736.639999999999</v>
      </c>
      <c r="M538">
        <v>2.21760221760222E-2</v>
      </c>
      <c r="N538">
        <v>36</v>
      </c>
      <c r="O538" t="s">
        <v>18</v>
      </c>
      <c r="P538">
        <v>1.9736842105263198E-2</v>
      </c>
      <c r="Q538">
        <v>583.67999999999995</v>
      </c>
    </row>
    <row r="539" spans="1:17" x14ac:dyDescent="0.3">
      <c r="A539" t="s">
        <v>567</v>
      </c>
      <c r="B539" t="s">
        <v>26</v>
      </c>
      <c r="C539" s="1">
        <v>44811</v>
      </c>
      <c r="D539" s="1">
        <v>44816</v>
      </c>
      <c r="E539" t="s">
        <v>42</v>
      </c>
      <c r="F539">
        <v>5</v>
      </c>
      <c r="G539" t="s">
        <v>36</v>
      </c>
      <c r="H539">
        <v>851</v>
      </c>
      <c r="I539">
        <v>76.44</v>
      </c>
      <c r="J539">
        <v>74.760000000000005</v>
      </c>
      <c r="K539">
        <v>65050.44</v>
      </c>
      <c r="L539">
        <v>63620.76</v>
      </c>
      <c r="M539">
        <v>2.19780219780219E-2</v>
      </c>
      <c r="N539">
        <v>91</v>
      </c>
      <c r="O539" t="s">
        <v>18</v>
      </c>
      <c r="P539">
        <v>0.106933019976498</v>
      </c>
      <c r="Q539">
        <v>1429.68</v>
      </c>
    </row>
    <row r="540" spans="1:17" x14ac:dyDescent="0.3">
      <c r="A540" t="s">
        <v>568</v>
      </c>
      <c r="B540" t="s">
        <v>26</v>
      </c>
      <c r="C540" s="1">
        <v>44713</v>
      </c>
      <c r="D540" s="1">
        <v>44715</v>
      </c>
      <c r="E540" t="s">
        <v>16</v>
      </c>
      <c r="F540">
        <v>2</v>
      </c>
      <c r="G540" t="s">
        <v>21</v>
      </c>
      <c r="H540">
        <v>1169</v>
      </c>
      <c r="I540">
        <v>95.6</v>
      </c>
      <c r="J540">
        <v>82.16</v>
      </c>
      <c r="K540">
        <v>111756.4</v>
      </c>
      <c r="L540">
        <v>96045.04</v>
      </c>
      <c r="M540">
        <v>0.140585774058577</v>
      </c>
      <c r="N540">
        <v>103</v>
      </c>
      <c r="O540" t="s">
        <v>18</v>
      </c>
      <c r="P540">
        <v>8.8109495295124005E-2</v>
      </c>
      <c r="Q540">
        <v>15711.36</v>
      </c>
    </row>
    <row r="541" spans="1:17" x14ac:dyDescent="0.3">
      <c r="A541" t="s">
        <v>569</v>
      </c>
      <c r="B541" t="s">
        <v>32</v>
      </c>
      <c r="C541" s="1">
        <v>45233</v>
      </c>
      <c r="D541" s="1">
        <v>45250</v>
      </c>
      <c r="E541" t="s">
        <v>24</v>
      </c>
      <c r="F541">
        <v>17</v>
      </c>
      <c r="G541" t="s">
        <v>21</v>
      </c>
      <c r="H541">
        <v>1711</v>
      </c>
      <c r="I541">
        <v>29.14</v>
      </c>
      <c r="J541">
        <v>26.35</v>
      </c>
      <c r="K541">
        <v>49858.54</v>
      </c>
      <c r="L541">
        <v>45084.85</v>
      </c>
      <c r="M541">
        <v>9.5744680851063704E-2</v>
      </c>
      <c r="N541">
        <v>48</v>
      </c>
      <c r="O541" t="s">
        <v>18</v>
      </c>
      <c r="P541">
        <v>2.80537697253068E-2</v>
      </c>
      <c r="Q541">
        <v>4773.6899999999996</v>
      </c>
    </row>
    <row r="542" spans="1:17" x14ac:dyDescent="0.3">
      <c r="A542" t="s">
        <v>570</v>
      </c>
      <c r="B542" t="s">
        <v>26</v>
      </c>
      <c r="C542" s="1">
        <v>45266</v>
      </c>
      <c r="D542" s="1">
        <v>45272</v>
      </c>
      <c r="E542" t="s">
        <v>27</v>
      </c>
      <c r="F542">
        <v>6</v>
      </c>
      <c r="G542" t="s">
        <v>38</v>
      </c>
      <c r="H542">
        <v>1191</v>
      </c>
      <c r="I542">
        <v>68.14</v>
      </c>
      <c r="J542">
        <v>61.71</v>
      </c>
      <c r="K542">
        <v>81154.740000000005</v>
      </c>
      <c r="L542">
        <v>73496.61</v>
      </c>
      <c r="M542">
        <v>9.4364543586733199E-2</v>
      </c>
      <c r="N542">
        <v>112</v>
      </c>
      <c r="O542" t="s">
        <v>18</v>
      </c>
      <c r="P542">
        <v>9.4038623005877398E-2</v>
      </c>
      <c r="Q542">
        <v>7658.13</v>
      </c>
    </row>
    <row r="543" spans="1:17" x14ac:dyDescent="0.3">
      <c r="A543" t="s">
        <v>571</v>
      </c>
      <c r="B543" t="s">
        <v>32</v>
      </c>
      <c r="C543" s="1">
        <v>44567</v>
      </c>
      <c r="D543" s="1">
        <v>44575</v>
      </c>
      <c r="E543" t="s">
        <v>42</v>
      </c>
      <c r="F543">
        <v>8</v>
      </c>
      <c r="G543" t="s">
        <v>21</v>
      </c>
      <c r="H543">
        <v>609</v>
      </c>
      <c r="I543">
        <v>92.39</v>
      </c>
      <c r="J543">
        <v>82.75</v>
      </c>
      <c r="K543">
        <v>56265.51</v>
      </c>
      <c r="L543">
        <v>50394.75</v>
      </c>
      <c r="M543">
        <v>0.104340296568893</v>
      </c>
      <c r="N543">
        <v>29</v>
      </c>
      <c r="O543" t="s">
        <v>18</v>
      </c>
      <c r="P543">
        <v>4.7619047619047603E-2</v>
      </c>
      <c r="Q543">
        <v>5870.76</v>
      </c>
    </row>
    <row r="544" spans="1:17" x14ac:dyDescent="0.3">
      <c r="A544" t="s">
        <v>572</v>
      </c>
      <c r="B544" t="s">
        <v>26</v>
      </c>
      <c r="C544" s="1">
        <v>44671</v>
      </c>
      <c r="D544" s="1">
        <v>44688</v>
      </c>
      <c r="E544" t="s">
        <v>16</v>
      </c>
      <c r="F544">
        <v>17</v>
      </c>
      <c r="G544" t="s">
        <v>21</v>
      </c>
      <c r="H544">
        <v>1674</v>
      </c>
      <c r="I544">
        <v>13.25</v>
      </c>
      <c r="J544">
        <v>11.77</v>
      </c>
      <c r="K544">
        <v>22180.5</v>
      </c>
      <c r="L544">
        <v>19702.98</v>
      </c>
      <c r="M544">
        <v>0.111698113207547</v>
      </c>
      <c r="N544">
        <v>181</v>
      </c>
      <c r="O544" t="s">
        <v>18</v>
      </c>
      <c r="P544">
        <v>0.10812425328554399</v>
      </c>
      <c r="Q544">
        <v>2477.52</v>
      </c>
    </row>
    <row r="545" spans="1:17" x14ac:dyDescent="0.3">
      <c r="A545" t="s">
        <v>573</v>
      </c>
      <c r="B545" t="s">
        <v>23</v>
      </c>
      <c r="C545" s="1">
        <v>44997</v>
      </c>
      <c r="D545" s="1">
        <v>45000</v>
      </c>
      <c r="E545" t="s">
        <v>24</v>
      </c>
      <c r="F545">
        <v>3</v>
      </c>
      <c r="G545" t="s">
        <v>21</v>
      </c>
      <c r="H545">
        <v>537</v>
      </c>
      <c r="I545">
        <v>77.86</v>
      </c>
      <c r="J545">
        <v>71.180000000000007</v>
      </c>
      <c r="K545">
        <v>41810.82</v>
      </c>
      <c r="L545">
        <v>38223.660000000003</v>
      </c>
      <c r="M545">
        <v>8.5795016696634904E-2</v>
      </c>
      <c r="N545">
        <v>20</v>
      </c>
      <c r="O545" t="s">
        <v>18</v>
      </c>
      <c r="P545">
        <v>3.7243947858473E-2</v>
      </c>
      <c r="Q545">
        <v>3587.16</v>
      </c>
    </row>
    <row r="546" spans="1:17" x14ac:dyDescent="0.3">
      <c r="A546" t="s">
        <v>574</v>
      </c>
      <c r="B546" t="s">
        <v>32</v>
      </c>
      <c r="C546" s="1">
        <v>44786</v>
      </c>
      <c r="D546" s="1">
        <v>44804</v>
      </c>
      <c r="E546" t="s">
        <v>42</v>
      </c>
      <c r="F546">
        <v>18</v>
      </c>
      <c r="G546" t="s">
        <v>21</v>
      </c>
      <c r="H546">
        <v>1310</v>
      </c>
      <c r="I546">
        <v>38.049999999999997</v>
      </c>
      <c r="J546">
        <v>37</v>
      </c>
      <c r="K546">
        <v>49845.5</v>
      </c>
      <c r="L546">
        <v>48470</v>
      </c>
      <c r="M546">
        <v>2.7595269382391398E-2</v>
      </c>
      <c r="N546">
        <v>45</v>
      </c>
      <c r="O546" t="s">
        <v>18</v>
      </c>
      <c r="P546">
        <v>3.4351145038167899E-2</v>
      </c>
      <c r="Q546">
        <v>1375.5</v>
      </c>
    </row>
    <row r="547" spans="1:17" x14ac:dyDescent="0.3">
      <c r="A547" t="s">
        <v>575</v>
      </c>
      <c r="B547" t="s">
        <v>20</v>
      </c>
      <c r="C547" s="1">
        <v>44742</v>
      </c>
      <c r="D547" s="1">
        <v>44752</v>
      </c>
      <c r="E547" t="s">
        <v>29</v>
      </c>
      <c r="F547">
        <v>10</v>
      </c>
      <c r="G547" t="s">
        <v>21</v>
      </c>
      <c r="H547">
        <v>1958</v>
      </c>
      <c r="I547">
        <v>95.53</v>
      </c>
      <c r="J547">
        <v>91.72</v>
      </c>
      <c r="K547">
        <v>187047.74</v>
      </c>
      <c r="L547">
        <v>179587.76</v>
      </c>
      <c r="M547">
        <v>3.9882759342614801E-2</v>
      </c>
      <c r="N547">
        <v>308</v>
      </c>
      <c r="O547" t="s">
        <v>18</v>
      </c>
      <c r="P547">
        <v>0.15730337078651699</v>
      </c>
      <c r="Q547">
        <v>7459.98</v>
      </c>
    </row>
    <row r="548" spans="1:17" x14ac:dyDescent="0.3">
      <c r="A548" t="s">
        <v>576</v>
      </c>
      <c r="B548" t="s">
        <v>20</v>
      </c>
      <c r="C548" s="1">
        <v>45274</v>
      </c>
      <c r="D548" s="1">
        <v>45277</v>
      </c>
      <c r="E548" t="s">
        <v>16</v>
      </c>
      <c r="F548">
        <v>3</v>
      </c>
      <c r="G548" t="s">
        <v>21</v>
      </c>
      <c r="H548">
        <v>946</v>
      </c>
      <c r="I548">
        <v>108.6</v>
      </c>
      <c r="J548">
        <v>101.78</v>
      </c>
      <c r="K548">
        <v>102735.6</v>
      </c>
      <c r="L548">
        <v>96283.88</v>
      </c>
      <c r="M548">
        <v>6.2799263351749401E-2</v>
      </c>
      <c r="N548">
        <v>146</v>
      </c>
      <c r="O548" t="s">
        <v>18</v>
      </c>
      <c r="P548">
        <v>0.15433403805496801</v>
      </c>
      <c r="Q548">
        <v>6451.72</v>
      </c>
    </row>
    <row r="549" spans="1:17" x14ac:dyDescent="0.3">
      <c r="A549" t="s">
        <v>577</v>
      </c>
      <c r="B549" t="s">
        <v>26</v>
      </c>
      <c r="C549" s="1">
        <v>45092</v>
      </c>
      <c r="D549" s="1">
        <v>45098</v>
      </c>
      <c r="E549" t="s">
        <v>27</v>
      </c>
      <c r="F549">
        <v>6</v>
      </c>
      <c r="G549" t="s">
        <v>36</v>
      </c>
      <c r="H549">
        <v>1345</v>
      </c>
      <c r="I549">
        <v>103.06</v>
      </c>
      <c r="J549">
        <v>95.14</v>
      </c>
      <c r="K549">
        <v>138615.70000000001</v>
      </c>
      <c r="L549">
        <v>127963.3</v>
      </c>
      <c r="M549">
        <v>7.6848437803221495E-2</v>
      </c>
      <c r="N549">
        <v>0</v>
      </c>
      <c r="O549" t="s">
        <v>18</v>
      </c>
      <c r="P549">
        <v>0</v>
      </c>
      <c r="Q549">
        <v>10652.4</v>
      </c>
    </row>
    <row r="550" spans="1:17" x14ac:dyDescent="0.3">
      <c r="A550" t="s">
        <v>578</v>
      </c>
      <c r="B550" t="s">
        <v>20</v>
      </c>
      <c r="C550" s="1">
        <v>45037</v>
      </c>
      <c r="D550" s="1">
        <v>45056</v>
      </c>
      <c r="E550" t="s">
        <v>24</v>
      </c>
      <c r="F550">
        <v>19</v>
      </c>
      <c r="G550" t="s">
        <v>21</v>
      </c>
      <c r="H550">
        <v>1262</v>
      </c>
      <c r="I550">
        <v>56.63</v>
      </c>
      <c r="J550">
        <v>51.46</v>
      </c>
      <c r="K550">
        <v>71467.06</v>
      </c>
      <c r="L550">
        <v>64942.52</v>
      </c>
      <c r="M550">
        <v>9.1294366943316205E-2</v>
      </c>
      <c r="N550">
        <v>0</v>
      </c>
      <c r="O550" t="s">
        <v>30</v>
      </c>
      <c r="P550">
        <v>0</v>
      </c>
      <c r="Q550">
        <v>6524.54</v>
      </c>
    </row>
    <row r="551" spans="1:17" x14ac:dyDescent="0.3">
      <c r="A551" t="s">
        <v>579</v>
      </c>
      <c r="B551" t="s">
        <v>26</v>
      </c>
      <c r="C551" s="1">
        <v>44613</v>
      </c>
      <c r="D551" s="1">
        <v>44633</v>
      </c>
      <c r="E551" t="s">
        <v>16</v>
      </c>
      <c r="F551">
        <v>20</v>
      </c>
      <c r="G551" t="s">
        <v>38</v>
      </c>
      <c r="H551">
        <v>753</v>
      </c>
      <c r="I551">
        <v>88.02</v>
      </c>
      <c r="J551">
        <v>79.92</v>
      </c>
      <c r="K551">
        <v>66279.06</v>
      </c>
      <c r="L551">
        <v>60179.76</v>
      </c>
      <c r="M551">
        <v>9.2024539877300596E-2</v>
      </c>
      <c r="N551">
        <v>75</v>
      </c>
      <c r="O551" t="s">
        <v>18</v>
      </c>
      <c r="P551">
        <v>9.9601593625498003E-2</v>
      </c>
      <c r="Q551">
        <v>6099.3</v>
      </c>
    </row>
    <row r="552" spans="1:17" x14ac:dyDescent="0.3">
      <c r="A552" t="s">
        <v>580</v>
      </c>
      <c r="B552" t="s">
        <v>26</v>
      </c>
      <c r="C552" s="1">
        <v>45132</v>
      </c>
      <c r="D552" s="1">
        <v>45152</v>
      </c>
      <c r="E552" t="s">
        <v>42</v>
      </c>
      <c r="F552">
        <v>20</v>
      </c>
      <c r="G552" t="s">
        <v>21</v>
      </c>
      <c r="H552">
        <v>1520</v>
      </c>
      <c r="I552">
        <v>93.75</v>
      </c>
      <c r="J552">
        <v>81.63</v>
      </c>
      <c r="K552">
        <v>142500</v>
      </c>
      <c r="L552">
        <v>124077.6</v>
      </c>
      <c r="M552">
        <v>0.12928000000000001</v>
      </c>
      <c r="N552">
        <v>149</v>
      </c>
      <c r="O552" t="s">
        <v>18</v>
      </c>
      <c r="P552">
        <v>9.8026315789473698E-2</v>
      </c>
      <c r="Q552">
        <v>18422.400000000001</v>
      </c>
    </row>
    <row r="553" spans="1:17" x14ac:dyDescent="0.3">
      <c r="A553" t="s">
        <v>581</v>
      </c>
      <c r="B553" t="s">
        <v>20</v>
      </c>
      <c r="C553" s="1">
        <v>44817</v>
      </c>
      <c r="D553" s="1">
        <v>44836</v>
      </c>
      <c r="E553" t="s">
        <v>16</v>
      </c>
      <c r="F553">
        <v>19</v>
      </c>
      <c r="G553" t="s">
        <v>21</v>
      </c>
      <c r="H553">
        <v>630</v>
      </c>
      <c r="I553">
        <v>40.270000000000003</v>
      </c>
      <c r="J553">
        <v>37.54</v>
      </c>
      <c r="K553">
        <v>25370.1</v>
      </c>
      <c r="L553">
        <v>23650.2</v>
      </c>
      <c r="M553">
        <v>6.7792401291283902E-2</v>
      </c>
      <c r="N553">
        <v>76</v>
      </c>
      <c r="O553" t="s">
        <v>18</v>
      </c>
      <c r="P553">
        <v>0.120634920634921</v>
      </c>
      <c r="Q553">
        <v>1719.9</v>
      </c>
    </row>
    <row r="554" spans="1:17" x14ac:dyDescent="0.3">
      <c r="A554" t="s">
        <v>582</v>
      </c>
      <c r="B554" t="s">
        <v>20</v>
      </c>
      <c r="C554" s="1">
        <v>44686</v>
      </c>
      <c r="D554" s="1">
        <v>44687</v>
      </c>
      <c r="E554" t="s">
        <v>16</v>
      </c>
      <c r="F554">
        <v>1</v>
      </c>
      <c r="G554" t="s">
        <v>21</v>
      </c>
      <c r="H554">
        <v>839</v>
      </c>
      <c r="I554">
        <v>86.29</v>
      </c>
      <c r="J554">
        <v>82.51</v>
      </c>
      <c r="K554">
        <v>72397.31</v>
      </c>
      <c r="L554">
        <v>69225.89</v>
      </c>
      <c r="M554">
        <v>4.38057712365282E-2</v>
      </c>
      <c r="N554">
        <v>110</v>
      </c>
      <c r="O554" t="s">
        <v>18</v>
      </c>
      <c r="P554">
        <v>0.131108462455304</v>
      </c>
      <c r="Q554">
        <v>3171.42</v>
      </c>
    </row>
    <row r="555" spans="1:17" x14ac:dyDescent="0.3">
      <c r="A555" t="s">
        <v>583</v>
      </c>
      <c r="B555" t="s">
        <v>15</v>
      </c>
      <c r="C555" s="1">
        <v>45029</v>
      </c>
      <c r="D555" s="1">
        <v>45048</v>
      </c>
      <c r="E555" t="s">
        <v>42</v>
      </c>
      <c r="F555">
        <v>19</v>
      </c>
      <c r="G555" t="s">
        <v>21</v>
      </c>
      <c r="H555">
        <v>910</v>
      </c>
      <c r="I555">
        <v>14.33</v>
      </c>
      <c r="J555">
        <v>14.07</v>
      </c>
      <c r="K555">
        <v>13040.3</v>
      </c>
      <c r="L555">
        <v>12803.7</v>
      </c>
      <c r="M555">
        <v>1.8143754361479299E-2</v>
      </c>
      <c r="N555">
        <v>27</v>
      </c>
      <c r="O555" t="s">
        <v>18</v>
      </c>
      <c r="P555">
        <v>2.96703296703297E-2</v>
      </c>
      <c r="Q555">
        <v>236.6</v>
      </c>
    </row>
    <row r="556" spans="1:17" x14ac:dyDescent="0.3">
      <c r="A556" t="s">
        <v>584</v>
      </c>
      <c r="B556" t="s">
        <v>32</v>
      </c>
      <c r="C556" s="1">
        <v>44698</v>
      </c>
      <c r="D556" s="1">
        <v>44705</v>
      </c>
      <c r="E556" t="s">
        <v>29</v>
      </c>
      <c r="F556">
        <v>7</v>
      </c>
      <c r="G556" t="s">
        <v>21</v>
      </c>
      <c r="H556">
        <v>296</v>
      </c>
      <c r="I556">
        <v>64.94</v>
      </c>
      <c r="J556">
        <v>63.61</v>
      </c>
      <c r="K556">
        <v>19222.240000000002</v>
      </c>
      <c r="L556">
        <v>18828.560000000001</v>
      </c>
      <c r="M556">
        <v>2.0480443486294901E-2</v>
      </c>
      <c r="N556">
        <v>0</v>
      </c>
      <c r="O556" t="s">
        <v>18</v>
      </c>
      <c r="P556">
        <v>0</v>
      </c>
      <c r="Q556">
        <v>393.68</v>
      </c>
    </row>
    <row r="557" spans="1:17" x14ac:dyDescent="0.3">
      <c r="A557" t="s">
        <v>585</v>
      </c>
      <c r="B557" t="s">
        <v>26</v>
      </c>
      <c r="C557" s="1">
        <v>45037</v>
      </c>
      <c r="D557" s="1">
        <v>45051</v>
      </c>
      <c r="E557" t="s">
        <v>24</v>
      </c>
      <c r="F557">
        <v>14</v>
      </c>
      <c r="G557" t="s">
        <v>21</v>
      </c>
      <c r="H557">
        <v>1149</v>
      </c>
      <c r="I557">
        <v>33</v>
      </c>
      <c r="J557">
        <v>30.65</v>
      </c>
      <c r="K557">
        <v>37917</v>
      </c>
      <c r="L557">
        <v>35216.85</v>
      </c>
      <c r="M557">
        <v>7.1212121212121199E-2</v>
      </c>
      <c r="N557">
        <v>141</v>
      </c>
      <c r="O557" t="s">
        <v>18</v>
      </c>
      <c r="P557">
        <v>0.122715404699739</v>
      </c>
      <c r="Q557">
        <v>2700.15</v>
      </c>
    </row>
    <row r="558" spans="1:17" x14ac:dyDescent="0.3">
      <c r="A558" t="s">
        <v>586</v>
      </c>
      <c r="B558" t="s">
        <v>20</v>
      </c>
      <c r="C558" s="1">
        <v>45245</v>
      </c>
      <c r="D558" s="1">
        <v>45246</v>
      </c>
      <c r="E558" t="s">
        <v>42</v>
      </c>
      <c r="F558">
        <v>1</v>
      </c>
      <c r="G558" t="s">
        <v>21</v>
      </c>
      <c r="H558">
        <v>203</v>
      </c>
      <c r="I558">
        <v>23.14</v>
      </c>
      <c r="J558">
        <v>20</v>
      </c>
      <c r="K558">
        <v>4697.42</v>
      </c>
      <c r="L558">
        <v>4060</v>
      </c>
      <c r="M558">
        <v>0.13569576490924801</v>
      </c>
      <c r="N558">
        <v>0</v>
      </c>
      <c r="O558" t="s">
        <v>30</v>
      </c>
      <c r="P558">
        <v>0</v>
      </c>
      <c r="Q558">
        <v>637.41999999999996</v>
      </c>
    </row>
    <row r="559" spans="1:17" x14ac:dyDescent="0.3">
      <c r="A559" t="s">
        <v>587</v>
      </c>
      <c r="B559" t="s">
        <v>32</v>
      </c>
      <c r="C559" s="1">
        <v>45105</v>
      </c>
      <c r="D559" s="1">
        <v>45123</v>
      </c>
      <c r="E559" t="s">
        <v>16</v>
      </c>
      <c r="F559">
        <v>18</v>
      </c>
      <c r="G559" t="s">
        <v>21</v>
      </c>
      <c r="H559">
        <v>1729</v>
      </c>
      <c r="I559">
        <v>18.36</v>
      </c>
      <c r="J559">
        <v>16.34</v>
      </c>
      <c r="K559">
        <v>31744.44</v>
      </c>
      <c r="L559">
        <v>28251.86</v>
      </c>
      <c r="M559">
        <v>0.110021786492375</v>
      </c>
      <c r="N559">
        <v>47</v>
      </c>
      <c r="O559" t="s">
        <v>18</v>
      </c>
      <c r="P559">
        <v>2.7183342972816701E-2</v>
      </c>
      <c r="Q559">
        <v>3492.58</v>
      </c>
    </row>
    <row r="560" spans="1:17" x14ac:dyDescent="0.3">
      <c r="A560" t="s">
        <v>588</v>
      </c>
      <c r="B560" t="s">
        <v>20</v>
      </c>
      <c r="C560" s="1">
        <v>45134</v>
      </c>
      <c r="D560" s="1">
        <v>45144</v>
      </c>
      <c r="E560" t="s">
        <v>16</v>
      </c>
      <c r="F560">
        <v>10</v>
      </c>
      <c r="G560" t="s">
        <v>21</v>
      </c>
      <c r="H560">
        <v>1508</v>
      </c>
      <c r="I560">
        <v>79.209999999999994</v>
      </c>
      <c r="J560">
        <v>73.27</v>
      </c>
      <c r="K560">
        <v>119448.68</v>
      </c>
      <c r="L560">
        <v>110491.16</v>
      </c>
      <c r="M560">
        <v>7.4990531498548202E-2</v>
      </c>
      <c r="N560">
        <v>226</v>
      </c>
      <c r="O560" t="s">
        <v>18</v>
      </c>
      <c r="P560">
        <v>0.149867374005305</v>
      </c>
      <c r="Q560">
        <v>8957.52</v>
      </c>
    </row>
    <row r="561" spans="1:17" x14ac:dyDescent="0.3">
      <c r="A561" t="s">
        <v>589</v>
      </c>
      <c r="B561" t="s">
        <v>20</v>
      </c>
      <c r="C561" s="1">
        <v>45171</v>
      </c>
      <c r="D561" s="1">
        <v>45184</v>
      </c>
      <c r="E561" t="s">
        <v>27</v>
      </c>
      <c r="F561">
        <v>13</v>
      </c>
      <c r="G561" t="s">
        <v>36</v>
      </c>
      <c r="H561">
        <v>1046</v>
      </c>
      <c r="I561">
        <v>44.65</v>
      </c>
      <c r="J561">
        <v>40.1</v>
      </c>
      <c r="K561">
        <v>46703.9</v>
      </c>
      <c r="L561">
        <v>41944.6</v>
      </c>
      <c r="M561">
        <v>0.10190369540873501</v>
      </c>
      <c r="N561">
        <v>165</v>
      </c>
      <c r="O561" t="s">
        <v>30</v>
      </c>
      <c r="P561">
        <v>0.15774378585085999</v>
      </c>
      <c r="Q561">
        <v>4759.3</v>
      </c>
    </row>
    <row r="562" spans="1:17" x14ac:dyDescent="0.3">
      <c r="A562" t="s">
        <v>590</v>
      </c>
      <c r="B562" t="s">
        <v>15</v>
      </c>
      <c r="C562" s="1">
        <v>44886</v>
      </c>
      <c r="D562" s="1">
        <v>44889</v>
      </c>
      <c r="E562" t="s">
        <v>16</v>
      </c>
      <c r="F562">
        <v>3</v>
      </c>
      <c r="G562" t="s">
        <v>21</v>
      </c>
      <c r="H562">
        <v>1159</v>
      </c>
      <c r="I562">
        <v>78.989999999999995</v>
      </c>
      <c r="J562">
        <v>71.69</v>
      </c>
      <c r="K562">
        <v>91549.41</v>
      </c>
      <c r="L562">
        <v>83088.710000000006</v>
      </c>
      <c r="M562">
        <v>9.2416761615394305E-2</v>
      </c>
      <c r="N562">
        <v>14</v>
      </c>
      <c r="O562" t="s">
        <v>18</v>
      </c>
      <c r="P562">
        <v>1.20793787748059E-2</v>
      </c>
      <c r="Q562">
        <v>8460.7000000000007</v>
      </c>
    </row>
    <row r="563" spans="1:17" x14ac:dyDescent="0.3">
      <c r="A563" t="s">
        <v>591</v>
      </c>
      <c r="B563" t="s">
        <v>26</v>
      </c>
      <c r="C563" s="1">
        <v>45015</v>
      </c>
      <c r="D563" s="1">
        <v>45021</v>
      </c>
      <c r="E563" t="s">
        <v>42</v>
      </c>
      <c r="F563">
        <v>6</v>
      </c>
      <c r="G563" t="s">
        <v>21</v>
      </c>
      <c r="H563">
        <v>746</v>
      </c>
      <c r="I563">
        <v>16.989999999999998</v>
      </c>
      <c r="J563">
        <v>15.35</v>
      </c>
      <c r="K563">
        <v>12674.54</v>
      </c>
      <c r="L563">
        <v>11451.1</v>
      </c>
      <c r="M563">
        <v>9.6527369040612002E-2</v>
      </c>
      <c r="N563">
        <v>69</v>
      </c>
      <c r="O563" t="s">
        <v>30</v>
      </c>
      <c r="P563">
        <v>9.2493297587131401E-2</v>
      </c>
      <c r="Q563">
        <v>1223.44</v>
      </c>
    </row>
    <row r="564" spans="1:17" x14ac:dyDescent="0.3">
      <c r="A564" t="s">
        <v>592</v>
      </c>
      <c r="B564" t="s">
        <v>26</v>
      </c>
      <c r="C564" s="1">
        <v>45189</v>
      </c>
      <c r="D564" s="1">
        <v>45205</v>
      </c>
      <c r="E564" t="s">
        <v>27</v>
      </c>
      <c r="F564">
        <v>16</v>
      </c>
      <c r="G564" t="s">
        <v>21</v>
      </c>
      <c r="H564">
        <v>1358</v>
      </c>
      <c r="I564">
        <v>42.21</v>
      </c>
      <c r="J564">
        <v>38.75</v>
      </c>
      <c r="K564">
        <v>57321.18</v>
      </c>
      <c r="L564">
        <v>52622.5</v>
      </c>
      <c r="M564">
        <v>8.1971096896470003E-2</v>
      </c>
      <c r="N564">
        <v>128</v>
      </c>
      <c r="O564" t="s">
        <v>18</v>
      </c>
      <c r="P564">
        <v>9.4256259204712797E-2</v>
      </c>
      <c r="Q564">
        <v>4698.68</v>
      </c>
    </row>
    <row r="565" spans="1:17" x14ac:dyDescent="0.3">
      <c r="A565" t="s">
        <v>593</v>
      </c>
      <c r="B565" t="s">
        <v>23</v>
      </c>
      <c r="C565" s="1">
        <v>45078</v>
      </c>
      <c r="D565" s="1">
        <v>45089</v>
      </c>
      <c r="E565" t="s">
        <v>16</v>
      </c>
      <c r="F565">
        <v>11</v>
      </c>
      <c r="G565" t="s">
        <v>21</v>
      </c>
      <c r="H565">
        <v>1293</v>
      </c>
      <c r="I565">
        <v>63.53</v>
      </c>
      <c r="J565">
        <v>59.42</v>
      </c>
      <c r="K565">
        <v>82144.289999999994</v>
      </c>
      <c r="L565">
        <v>76830.06</v>
      </c>
      <c r="M565">
        <v>6.4693845427357302E-2</v>
      </c>
      <c r="N565">
        <v>79</v>
      </c>
      <c r="O565" t="s">
        <v>18</v>
      </c>
      <c r="P565">
        <v>6.1098221191028597E-2</v>
      </c>
      <c r="Q565">
        <v>5314.23</v>
      </c>
    </row>
    <row r="566" spans="1:17" x14ac:dyDescent="0.3">
      <c r="A566" t="s">
        <v>594</v>
      </c>
      <c r="B566" t="s">
        <v>15</v>
      </c>
      <c r="C566" s="1">
        <v>44998</v>
      </c>
      <c r="D566" s="1">
        <v>45009</v>
      </c>
      <c r="E566" t="s">
        <v>42</v>
      </c>
      <c r="F566">
        <v>11</v>
      </c>
      <c r="G566" t="s">
        <v>21</v>
      </c>
      <c r="H566">
        <v>1142</v>
      </c>
      <c r="I566">
        <v>86.85</v>
      </c>
      <c r="J566">
        <v>74.28</v>
      </c>
      <c r="K566">
        <v>99182.7</v>
      </c>
      <c r="L566">
        <v>84827.76</v>
      </c>
      <c r="M566">
        <v>0.144732297063903</v>
      </c>
      <c r="N566">
        <v>30</v>
      </c>
      <c r="O566" t="s">
        <v>18</v>
      </c>
      <c r="P566">
        <v>2.62697022767075E-2</v>
      </c>
      <c r="Q566">
        <v>14354.94</v>
      </c>
    </row>
    <row r="567" spans="1:17" x14ac:dyDescent="0.3">
      <c r="A567" t="s">
        <v>595</v>
      </c>
      <c r="B567" t="s">
        <v>32</v>
      </c>
      <c r="C567" s="1">
        <v>45123</v>
      </c>
      <c r="D567" s="1">
        <v>45134</v>
      </c>
      <c r="E567" t="s">
        <v>24</v>
      </c>
      <c r="F567">
        <v>11</v>
      </c>
      <c r="G567" t="s">
        <v>21</v>
      </c>
      <c r="H567">
        <v>1120</v>
      </c>
      <c r="I567">
        <v>42.17</v>
      </c>
      <c r="J567">
        <v>37.47</v>
      </c>
      <c r="K567">
        <v>47230.400000000001</v>
      </c>
      <c r="L567">
        <v>41966.400000000001</v>
      </c>
      <c r="M567">
        <v>0.11145364002845599</v>
      </c>
      <c r="N567">
        <v>33</v>
      </c>
      <c r="O567" t="s">
        <v>18</v>
      </c>
      <c r="P567">
        <v>2.94642857142857E-2</v>
      </c>
      <c r="Q567">
        <v>5264</v>
      </c>
    </row>
    <row r="568" spans="1:17" x14ac:dyDescent="0.3">
      <c r="A568" t="s">
        <v>596</v>
      </c>
      <c r="B568" t="s">
        <v>15</v>
      </c>
      <c r="C568" s="1">
        <v>45018</v>
      </c>
      <c r="D568" s="1">
        <v>45030</v>
      </c>
      <c r="E568" t="s">
        <v>24</v>
      </c>
      <c r="F568">
        <v>12</v>
      </c>
      <c r="G568" t="s">
        <v>21</v>
      </c>
      <c r="H568">
        <v>1058</v>
      </c>
      <c r="I568">
        <v>71.3</v>
      </c>
      <c r="J568">
        <v>62.04</v>
      </c>
      <c r="K568">
        <v>75435.399999999994</v>
      </c>
      <c r="L568">
        <v>65638.320000000007</v>
      </c>
      <c r="M568">
        <v>0.12987377279102399</v>
      </c>
      <c r="N568">
        <v>0</v>
      </c>
      <c r="O568" t="s">
        <v>18</v>
      </c>
      <c r="P568">
        <v>0</v>
      </c>
      <c r="Q568">
        <v>9797.08</v>
      </c>
    </row>
    <row r="569" spans="1:17" x14ac:dyDescent="0.3">
      <c r="A569" t="s">
        <v>597</v>
      </c>
      <c r="B569" t="s">
        <v>26</v>
      </c>
      <c r="C569" s="1">
        <v>45048</v>
      </c>
      <c r="D569" s="1">
        <v>45060</v>
      </c>
      <c r="E569" t="s">
        <v>24</v>
      </c>
      <c r="F569">
        <v>12</v>
      </c>
      <c r="G569" t="s">
        <v>21</v>
      </c>
      <c r="H569">
        <v>1823</v>
      </c>
      <c r="I569">
        <v>70.66</v>
      </c>
      <c r="J569">
        <v>66.92</v>
      </c>
      <c r="K569">
        <v>128813.18</v>
      </c>
      <c r="L569">
        <v>121995.16</v>
      </c>
      <c r="M569">
        <v>5.2929521652986103E-2</v>
      </c>
      <c r="N569">
        <v>202</v>
      </c>
      <c r="O569" t="s">
        <v>18</v>
      </c>
      <c r="P569">
        <v>0.11080636313768499</v>
      </c>
      <c r="Q569">
        <v>6818.02</v>
      </c>
    </row>
    <row r="570" spans="1:17" x14ac:dyDescent="0.3">
      <c r="A570" t="s">
        <v>598</v>
      </c>
      <c r="B570" t="s">
        <v>23</v>
      </c>
      <c r="C570" s="1">
        <v>45022</v>
      </c>
      <c r="D570" s="1">
        <v>45026</v>
      </c>
      <c r="E570" t="s">
        <v>16</v>
      </c>
      <c r="F570">
        <v>4</v>
      </c>
      <c r="G570" t="s">
        <v>21</v>
      </c>
      <c r="H570">
        <v>1007</v>
      </c>
      <c r="I570">
        <v>33.29</v>
      </c>
      <c r="J570">
        <v>28.48</v>
      </c>
      <c r="K570">
        <v>33523.03</v>
      </c>
      <c r="L570">
        <v>28679.360000000001</v>
      </c>
      <c r="M570">
        <v>0.14448783418444</v>
      </c>
      <c r="N570">
        <v>49</v>
      </c>
      <c r="O570" t="s">
        <v>18</v>
      </c>
      <c r="P570">
        <v>4.8659384309831202E-2</v>
      </c>
      <c r="Q570">
        <v>4843.67</v>
      </c>
    </row>
    <row r="571" spans="1:17" x14ac:dyDescent="0.3">
      <c r="A571" t="s">
        <v>599</v>
      </c>
      <c r="B571" t="s">
        <v>23</v>
      </c>
      <c r="C571" s="1">
        <v>44827</v>
      </c>
      <c r="D571" s="1">
        <v>44842</v>
      </c>
      <c r="E571" t="s">
        <v>27</v>
      </c>
      <c r="F571">
        <v>15</v>
      </c>
      <c r="G571" t="s">
        <v>21</v>
      </c>
      <c r="H571">
        <v>1061</v>
      </c>
      <c r="I571">
        <v>12.68</v>
      </c>
      <c r="J571">
        <v>12.36</v>
      </c>
      <c r="K571">
        <v>13453.48</v>
      </c>
      <c r="L571">
        <v>13113.96</v>
      </c>
      <c r="M571">
        <v>2.5236593059936901E-2</v>
      </c>
      <c r="N571">
        <v>56</v>
      </c>
      <c r="O571" t="s">
        <v>30</v>
      </c>
      <c r="P571">
        <v>5.2780395852968898E-2</v>
      </c>
      <c r="Q571">
        <v>339.52</v>
      </c>
    </row>
    <row r="572" spans="1:17" x14ac:dyDescent="0.3">
      <c r="A572" t="s">
        <v>600</v>
      </c>
      <c r="B572" t="s">
        <v>26</v>
      </c>
      <c r="C572" s="1">
        <v>44815</v>
      </c>
      <c r="D572" s="1">
        <v>44830</v>
      </c>
      <c r="E572" t="s">
        <v>24</v>
      </c>
      <c r="F572">
        <v>15</v>
      </c>
      <c r="G572" t="s">
        <v>38</v>
      </c>
      <c r="H572">
        <v>502</v>
      </c>
      <c r="I572">
        <v>91.84</v>
      </c>
      <c r="J572">
        <v>82.33</v>
      </c>
      <c r="K572">
        <v>46103.68</v>
      </c>
      <c r="L572">
        <v>41329.660000000003</v>
      </c>
      <c r="M572">
        <v>0.103549651567944</v>
      </c>
      <c r="N572">
        <v>0</v>
      </c>
      <c r="O572" t="s">
        <v>18</v>
      </c>
      <c r="P572">
        <v>0</v>
      </c>
      <c r="Q572">
        <v>4774.0200000000004</v>
      </c>
    </row>
    <row r="573" spans="1:17" x14ac:dyDescent="0.3">
      <c r="A573" t="s">
        <v>601</v>
      </c>
      <c r="B573" t="s">
        <v>20</v>
      </c>
      <c r="C573" s="1">
        <v>45214</v>
      </c>
      <c r="D573" s="1">
        <v>45218</v>
      </c>
      <c r="E573" t="s">
        <v>27</v>
      </c>
      <c r="F573">
        <v>4</v>
      </c>
      <c r="G573" t="s">
        <v>21</v>
      </c>
      <c r="H573">
        <v>1277</v>
      </c>
      <c r="I573">
        <v>13.17</v>
      </c>
      <c r="J573">
        <v>11.63</v>
      </c>
      <c r="K573">
        <v>16818.09</v>
      </c>
      <c r="L573">
        <v>14851.51</v>
      </c>
      <c r="M573">
        <v>0.116932422171602</v>
      </c>
      <c r="N573">
        <v>199</v>
      </c>
      <c r="O573" t="s">
        <v>30</v>
      </c>
      <c r="P573">
        <v>0.15583398590446401</v>
      </c>
      <c r="Q573">
        <v>1966.58</v>
      </c>
    </row>
    <row r="574" spans="1:17" x14ac:dyDescent="0.3">
      <c r="A574" t="s">
        <v>602</v>
      </c>
      <c r="B574" t="s">
        <v>15</v>
      </c>
      <c r="C574" s="1">
        <v>44845</v>
      </c>
      <c r="D574" s="1">
        <v>44858</v>
      </c>
      <c r="E574" t="s">
        <v>27</v>
      </c>
      <c r="F574">
        <v>13</v>
      </c>
      <c r="G574" t="s">
        <v>21</v>
      </c>
      <c r="H574">
        <v>961</v>
      </c>
      <c r="I574">
        <v>92.72</v>
      </c>
      <c r="J574">
        <v>88.49</v>
      </c>
      <c r="K574">
        <v>89103.92</v>
      </c>
      <c r="L574">
        <v>85038.89</v>
      </c>
      <c r="M574">
        <v>4.5621225194132899E-2</v>
      </c>
      <c r="N574">
        <v>22</v>
      </c>
      <c r="O574" t="s">
        <v>18</v>
      </c>
      <c r="P574">
        <v>2.2892819979188302E-2</v>
      </c>
      <c r="Q574">
        <v>4065.03</v>
      </c>
    </row>
    <row r="575" spans="1:17" x14ac:dyDescent="0.3">
      <c r="A575" t="s">
        <v>603</v>
      </c>
      <c r="B575" t="s">
        <v>23</v>
      </c>
      <c r="C575" s="1">
        <v>45095</v>
      </c>
      <c r="D575" s="1">
        <v>45109</v>
      </c>
      <c r="E575" t="s">
        <v>27</v>
      </c>
      <c r="F575">
        <v>14</v>
      </c>
      <c r="G575" t="s">
        <v>21</v>
      </c>
      <c r="H575">
        <v>267</v>
      </c>
      <c r="I575">
        <v>62.5</v>
      </c>
      <c r="J575">
        <v>61.18</v>
      </c>
      <c r="K575">
        <v>16687.5</v>
      </c>
      <c r="L575">
        <v>16335.06</v>
      </c>
      <c r="M575">
        <v>2.112E-2</v>
      </c>
      <c r="N575">
        <v>17</v>
      </c>
      <c r="O575" t="s">
        <v>18</v>
      </c>
      <c r="P575">
        <v>6.3670411985018702E-2</v>
      </c>
      <c r="Q575">
        <v>352.44</v>
      </c>
    </row>
    <row r="576" spans="1:17" x14ac:dyDescent="0.3">
      <c r="A576" t="s">
        <v>604</v>
      </c>
      <c r="B576" t="s">
        <v>20</v>
      </c>
      <c r="C576" s="1">
        <v>45058</v>
      </c>
      <c r="D576" s="1">
        <v>45064</v>
      </c>
      <c r="E576" t="s">
        <v>29</v>
      </c>
      <c r="F576">
        <v>6</v>
      </c>
      <c r="G576" t="s">
        <v>17</v>
      </c>
      <c r="H576">
        <v>523</v>
      </c>
      <c r="I576">
        <v>102.08</v>
      </c>
      <c r="J576">
        <v>99.59</v>
      </c>
      <c r="K576">
        <v>53387.839999999997</v>
      </c>
      <c r="L576">
        <v>52085.57</v>
      </c>
      <c r="M576">
        <v>2.43926332288401E-2</v>
      </c>
      <c r="N576">
        <v>0</v>
      </c>
      <c r="O576" t="s">
        <v>18</v>
      </c>
      <c r="P576">
        <v>0</v>
      </c>
      <c r="Q576">
        <v>1302.27</v>
      </c>
    </row>
    <row r="577" spans="1:17" x14ac:dyDescent="0.3">
      <c r="A577" t="s">
        <v>605</v>
      </c>
      <c r="B577" t="s">
        <v>32</v>
      </c>
      <c r="C577" s="1">
        <v>45203</v>
      </c>
      <c r="D577" s="1">
        <v>45222</v>
      </c>
      <c r="E577" t="s">
        <v>42</v>
      </c>
      <c r="F577">
        <v>19</v>
      </c>
      <c r="G577" t="s">
        <v>38</v>
      </c>
      <c r="H577">
        <v>481</v>
      </c>
      <c r="I577">
        <v>90.49</v>
      </c>
      <c r="J577">
        <v>77.17</v>
      </c>
      <c r="K577">
        <v>43525.69</v>
      </c>
      <c r="L577">
        <v>37118.769999999997</v>
      </c>
      <c r="M577">
        <v>0.14719858547905801</v>
      </c>
      <c r="N577">
        <v>0</v>
      </c>
      <c r="O577" t="s">
        <v>18</v>
      </c>
      <c r="P577">
        <v>0</v>
      </c>
      <c r="Q577">
        <v>6406.92</v>
      </c>
    </row>
    <row r="578" spans="1:17" x14ac:dyDescent="0.3">
      <c r="A578" t="s">
        <v>606</v>
      </c>
      <c r="B578" t="s">
        <v>23</v>
      </c>
      <c r="C578" s="1">
        <v>44806</v>
      </c>
      <c r="D578" s="1">
        <v>44813</v>
      </c>
      <c r="E578" t="s">
        <v>16</v>
      </c>
      <c r="F578">
        <v>7</v>
      </c>
      <c r="G578" t="s">
        <v>21</v>
      </c>
      <c r="H578">
        <v>390</v>
      </c>
      <c r="I578">
        <v>103.81</v>
      </c>
      <c r="J578">
        <v>100.12</v>
      </c>
      <c r="K578">
        <v>40485.9</v>
      </c>
      <c r="L578">
        <v>39046.800000000003</v>
      </c>
      <c r="M578">
        <v>3.5545708505924201E-2</v>
      </c>
      <c r="N578">
        <v>20</v>
      </c>
      <c r="O578" t="s">
        <v>18</v>
      </c>
      <c r="P578">
        <v>5.1282051282051301E-2</v>
      </c>
      <c r="Q578">
        <v>1439.1</v>
      </c>
    </row>
    <row r="579" spans="1:17" x14ac:dyDescent="0.3">
      <c r="A579" t="s">
        <v>607</v>
      </c>
      <c r="B579" t="s">
        <v>32</v>
      </c>
      <c r="C579" s="1">
        <v>44843</v>
      </c>
      <c r="D579" s="1">
        <v>44859</v>
      </c>
      <c r="E579" t="s">
        <v>27</v>
      </c>
      <c r="F579">
        <v>16</v>
      </c>
      <c r="G579" t="s">
        <v>21</v>
      </c>
      <c r="H579">
        <v>600</v>
      </c>
      <c r="I579">
        <v>43.43</v>
      </c>
      <c r="J579">
        <v>38.76</v>
      </c>
      <c r="K579">
        <v>26058</v>
      </c>
      <c r="L579">
        <v>23256</v>
      </c>
      <c r="M579">
        <v>0.107529357586921</v>
      </c>
      <c r="N579">
        <v>22</v>
      </c>
      <c r="O579" t="s">
        <v>18</v>
      </c>
      <c r="P579">
        <v>3.6666666666666702E-2</v>
      </c>
      <c r="Q579">
        <v>2802</v>
      </c>
    </row>
    <row r="580" spans="1:17" x14ac:dyDescent="0.3">
      <c r="A580" t="s">
        <v>608</v>
      </c>
      <c r="B580" t="s">
        <v>32</v>
      </c>
      <c r="C580" s="1">
        <v>44641</v>
      </c>
      <c r="D580" s="1">
        <v>44651</v>
      </c>
      <c r="E580" t="s">
        <v>27</v>
      </c>
      <c r="F580">
        <v>10</v>
      </c>
      <c r="G580" t="s">
        <v>17</v>
      </c>
      <c r="H580">
        <v>1362</v>
      </c>
      <c r="I580">
        <v>46.64</v>
      </c>
      <c r="J580">
        <v>42.85</v>
      </c>
      <c r="K580">
        <v>63523.68</v>
      </c>
      <c r="L580">
        <v>58361.7</v>
      </c>
      <c r="M580">
        <v>8.1260720411663698E-2</v>
      </c>
      <c r="N580">
        <v>33</v>
      </c>
      <c r="O580" t="s">
        <v>18</v>
      </c>
      <c r="P580">
        <v>2.4229074889867801E-2</v>
      </c>
      <c r="Q580">
        <v>5161.9799999999996</v>
      </c>
    </row>
    <row r="581" spans="1:17" x14ac:dyDescent="0.3">
      <c r="A581" t="s">
        <v>609</v>
      </c>
      <c r="B581" t="s">
        <v>20</v>
      </c>
      <c r="C581" s="1">
        <v>45292</v>
      </c>
      <c r="D581" s="1">
        <v>45295</v>
      </c>
      <c r="E581" t="s">
        <v>42</v>
      </c>
      <c r="F581">
        <v>3</v>
      </c>
      <c r="G581" t="s">
        <v>38</v>
      </c>
      <c r="H581">
        <v>1327</v>
      </c>
      <c r="I581">
        <v>59.57</v>
      </c>
      <c r="J581">
        <v>56.44</v>
      </c>
      <c r="K581">
        <v>79049.39</v>
      </c>
      <c r="L581">
        <v>74895.88</v>
      </c>
      <c r="M581">
        <v>5.2543226456270103E-2</v>
      </c>
      <c r="N581">
        <v>169</v>
      </c>
      <c r="O581" t="s">
        <v>18</v>
      </c>
      <c r="P581">
        <v>0.12735493594574199</v>
      </c>
      <c r="Q581">
        <v>4153.51</v>
      </c>
    </row>
    <row r="582" spans="1:17" x14ac:dyDescent="0.3">
      <c r="A582" t="s">
        <v>610</v>
      </c>
      <c r="B582" t="s">
        <v>15</v>
      </c>
      <c r="C582" s="1">
        <v>44802</v>
      </c>
      <c r="D582" s="1">
        <v>44810</v>
      </c>
      <c r="E582" t="s">
        <v>16</v>
      </c>
      <c r="F582">
        <v>8</v>
      </c>
      <c r="G582" t="s">
        <v>38</v>
      </c>
      <c r="H582">
        <v>406</v>
      </c>
      <c r="I582">
        <v>91.73</v>
      </c>
      <c r="J582">
        <v>89.13</v>
      </c>
      <c r="K582">
        <v>37242.379999999997</v>
      </c>
      <c r="L582">
        <v>36186.78</v>
      </c>
      <c r="M582">
        <v>2.8344053199607699E-2</v>
      </c>
      <c r="N582">
        <v>0</v>
      </c>
      <c r="O582" t="s">
        <v>18</v>
      </c>
      <c r="P582">
        <v>0</v>
      </c>
      <c r="Q582">
        <v>1055.5999999999999</v>
      </c>
    </row>
    <row r="583" spans="1:17" x14ac:dyDescent="0.3">
      <c r="A583" t="s">
        <v>611</v>
      </c>
      <c r="B583" t="s">
        <v>23</v>
      </c>
      <c r="C583" s="1">
        <v>44840</v>
      </c>
      <c r="D583" s="1">
        <v>44852</v>
      </c>
      <c r="E583" t="s">
        <v>29</v>
      </c>
      <c r="F583">
        <v>12</v>
      </c>
      <c r="G583" t="s">
        <v>36</v>
      </c>
      <c r="H583">
        <v>72</v>
      </c>
      <c r="I583">
        <v>103</v>
      </c>
      <c r="J583">
        <v>89.49</v>
      </c>
      <c r="K583">
        <v>7416</v>
      </c>
      <c r="L583">
        <v>6443.28</v>
      </c>
      <c r="M583">
        <v>0.13116504854368899</v>
      </c>
      <c r="N583">
        <v>1</v>
      </c>
      <c r="O583" t="s">
        <v>30</v>
      </c>
      <c r="P583">
        <v>1.38888888888889E-2</v>
      </c>
      <c r="Q583">
        <v>972.72</v>
      </c>
    </row>
    <row r="584" spans="1:17" x14ac:dyDescent="0.3">
      <c r="A584" t="s">
        <v>612</v>
      </c>
      <c r="B584" t="s">
        <v>23</v>
      </c>
      <c r="C584" s="1">
        <v>44905</v>
      </c>
      <c r="D584" s="1">
        <v>44915</v>
      </c>
      <c r="E584" t="s">
        <v>16</v>
      </c>
      <c r="F584">
        <v>10</v>
      </c>
      <c r="G584" t="s">
        <v>21</v>
      </c>
      <c r="H584">
        <v>1835</v>
      </c>
      <c r="I584">
        <v>83.5</v>
      </c>
      <c r="J584">
        <v>82.36</v>
      </c>
      <c r="K584">
        <v>153222.5</v>
      </c>
      <c r="L584">
        <v>151130.6</v>
      </c>
      <c r="M584">
        <v>1.36526946107784E-2</v>
      </c>
      <c r="N584">
        <v>85</v>
      </c>
      <c r="O584" t="s">
        <v>30</v>
      </c>
      <c r="P584">
        <v>4.6321525885558601E-2</v>
      </c>
      <c r="Q584">
        <v>2091.9</v>
      </c>
    </row>
    <row r="585" spans="1:17" x14ac:dyDescent="0.3">
      <c r="A585" t="s">
        <v>613</v>
      </c>
      <c r="B585" t="s">
        <v>20</v>
      </c>
      <c r="C585" s="1">
        <v>44889</v>
      </c>
      <c r="D585" s="1">
        <v>44905</v>
      </c>
      <c r="E585" t="s">
        <v>42</v>
      </c>
      <c r="F585">
        <v>16</v>
      </c>
      <c r="G585" t="s">
        <v>38</v>
      </c>
      <c r="H585">
        <v>571</v>
      </c>
      <c r="I585">
        <v>49.98</v>
      </c>
      <c r="J585">
        <v>45.58</v>
      </c>
      <c r="K585">
        <v>28538.58</v>
      </c>
      <c r="L585">
        <v>26026.18</v>
      </c>
      <c r="M585">
        <v>8.8035214085634195E-2</v>
      </c>
      <c r="N585">
        <v>0</v>
      </c>
      <c r="O585" t="s">
        <v>30</v>
      </c>
      <c r="P585">
        <v>0</v>
      </c>
      <c r="Q585">
        <v>2512.4</v>
      </c>
    </row>
    <row r="586" spans="1:17" x14ac:dyDescent="0.3">
      <c r="A586" t="s">
        <v>614</v>
      </c>
      <c r="B586" t="s">
        <v>32</v>
      </c>
      <c r="C586" s="1">
        <v>45115</v>
      </c>
      <c r="D586" s="1">
        <v>45116</v>
      </c>
      <c r="E586" t="s">
        <v>27</v>
      </c>
      <c r="F586">
        <v>1</v>
      </c>
      <c r="G586" t="s">
        <v>21</v>
      </c>
      <c r="H586">
        <v>1831</v>
      </c>
      <c r="I586">
        <v>52.24</v>
      </c>
      <c r="J586">
        <v>50.44</v>
      </c>
      <c r="K586">
        <v>95651.44</v>
      </c>
      <c r="L586">
        <v>92355.64</v>
      </c>
      <c r="M586">
        <v>3.4456355283307802E-2</v>
      </c>
      <c r="N586">
        <v>60</v>
      </c>
      <c r="O586" t="s">
        <v>18</v>
      </c>
      <c r="P586">
        <v>3.2768978700163799E-2</v>
      </c>
      <c r="Q586">
        <v>3295.8</v>
      </c>
    </row>
    <row r="587" spans="1:17" x14ac:dyDescent="0.3">
      <c r="A587" t="s">
        <v>615</v>
      </c>
      <c r="B587" t="s">
        <v>26</v>
      </c>
      <c r="C587" s="1">
        <v>44644</v>
      </c>
      <c r="D587" s="1">
        <v>44658</v>
      </c>
      <c r="E587" t="s">
        <v>16</v>
      </c>
      <c r="F587">
        <v>14</v>
      </c>
      <c r="G587" t="s">
        <v>38</v>
      </c>
      <c r="H587">
        <v>1910</v>
      </c>
      <c r="I587">
        <v>77.150000000000006</v>
      </c>
      <c r="J587">
        <v>68.489999999999995</v>
      </c>
      <c r="K587">
        <v>147356.5</v>
      </c>
      <c r="L587">
        <v>130815.9</v>
      </c>
      <c r="M587">
        <v>0.112248865845755</v>
      </c>
      <c r="N587">
        <v>170</v>
      </c>
      <c r="O587" t="s">
        <v>18</v>
      </c>
      <c r="P587">
        <v>8.9005235602094196E-2</v>
      </c>
      <c r="Q587">
        <v>16540.599999999999</v>
      </c>
    </row>
    <row r="588" spans="1:17" x14ac:dyDescent="0.3">
      <c r="A588" t="s">
        <v>616</v>
      </c>
      <c r="B588" t="s">
        <v>23</v>
      </c>
      <c r="C588" s="1">
        <v>44703</v>
      </c>
      <c r="D588" s="1">
        <v>44712</v>
      </c>
      <c r="E588" t="s">
        <v>42</v>
      </c>
      <c r="F588">
        <v>9</v>
      </c>
      <c r="G588" t="s">
        <v>36</v>
      </c>
      <c r="H588">
        <v>1173</v>
      </c>
      <c r="I588">
        <v>32.119999999999997</v>
      </c>
      <c r="J588">
        <v>29.18</v>
      </c>
      <c r="K588">
        <v>37676.76</v>
      </c>
      <c r="L588">
        <v>34228.14</v>
      </c>
      <c r="M588">
        <v>9.1531755915317398E-2</v>
      </c>
      <c r="N588">
        <v>0</v>
      </c>
      <c r="O588" t="s">
        <v>18</v>
      </c>
      <c r="P588">
        <v>0</v>
      </c>
      <c r="Q588">
        <v>3448.62</v>
      </c>
    </row>
    <row r="589" spans="1:17" x14ac:dyDescent="0.3">
      <c r="A589" t="s">
        <v>617</v>
      </c>
      <c r="B589" t="s">
        <v>32</v>
      </c>
      <c r="C589" s="1">
        <v>44716</v>
      </c>
      <c r="D589" s="1">
        <v>44729</v>
      </c>
      <c r="E589" t="s">
        <v>27</v>
      </c>
      <c r="F589">
        <v>13</v>
      </c>
      <c r="G589" t="s">
        <v>36</v>
      </c>
      <c r="H589">
        <v>851</v>
      </c>
      <c r="I589">
        <v>20.440000000000001</v>
      </c>
      <c r="J589">
        <v>19.22</v>
      </c>
      <c r="K589">
        <v>17394.439999999999</v>
      </c>
      <c r="L589">
        <v>16356.22</v>
      </c>
      <c r="M589">
        <v>5.9686888454011898E-2</v>
      </c>
      <c r="N589">
        <v>22</v>
      </c>
      <c r="O589" t="s">
        <v>18</v>
      </c>
      <c r="P589">
        <v>2.58519388954172E-2</v>
      </c>
      <c r="Q589">
        <v>1038.22</v>
      </c>
    </row>
    <row r="590" spans="1:17" x14ac:dyDescent="0.3">
      <c r="A590" t="s">
        <v>618</v>
      </c>
      <c r="B590" t="s">
        <v>32</v>
      </c>
      <c r="C590" s="1">
        <v>44798</v>
      </c>
      <c r="D590" s="1">
        <v>44811</v>
      </c>
      <c r="E590" t="s">
        <v>24</v>
      </c>
      <c r="F590">
        <v>13</v>
      </c>
      <c r="G590" t="s">
        <v>17</v>
      </c>
      <c r="H590">
        <v>1253</v>
      </c>
      <c r="I590">
        <v>43.38</v>
      </c>
      <c r="J590">
        <v>38.01</v>
      </c>
      <c r="K590">
        <v>54355.14</v>
      </c>
      <c r="L590">
        <v>47626.53</v>
      </c>
      <c r="M590">
        <v>0.12378976486860301</v>
      </c>
      <c r="N590">
        <v>34</v>
      </c>
      <c r="O590" t="s">
        <v>18</v>
      </c>
      <c r="P590">
        <v>2.7134876296887499E-2</v>
      </c>
      <c r="Q590">
        <v>6728.61</v>
      </c>
    </row>
    <row r="591" spans="1:17" x14ac:dyDescent="0.3">
      <c r="A591" t="s">
        <v>619</v>
      </c>
      <c r="B591" t="s">
        <v>15</v>
      </c>
      <c r="C591" s="1">
        <v>44954</v>
      </c>
      <c r="D591" s="1">
        <v>44972</v>
      </c>
      <c r="E591" t="s">
        <v>42</v>
      </c>
      <c r="F591">
        <v>18</v>
      </c>
      <c r="G591" t="s">
        <v>21</v>
      </c>
      <c r="H591">
        <v>1296</v>
      </c>
      <c r="I591">
        <v>38</v>
      </c>
      <c r="J591">
        <v>33.42</v>
      </c>
      <c r="K591">
        <v>49248</v>
      </c>
      <c r="L591">
        <v>43312.32</v>
      </c>
      <c r="M591">
        <v>0.120526315789474</v>
      </c>
      <c r="N591">
        <v>33</v>
      </c>
      <c r="O591" t="s">
        <v>18</v>
      </c>
      <c r="P591">
        <v>2.5462962962963E-2</v>
      </c>
      <c r="Q591">
        <v>5935.68</v>
      </c>
    </row>
    <row r="592" spans="1:17" x14ac:dyDescent="0.3">
      <c r="A592" t="s">
        <v>620</v>
      </c>
      <c r="B592" t="s">
        <v>26</v>
      </c>
      <c r="C592" s="1">
        <v>45272</v>
      </c>
      <c r="D592" s="1">
        <v>45290</v>
      </c>
      <c r="E592" t="s">
        <v>29</v>
      </c>
      <c r="F592">
        <v>18</v>
      </c>
      <c r="G592" t="s">
        <v>21</v>
      </c>
      <c r="H592">
        <v>1979</v>
      </c>
      <c r="I592">
        <v>40.880000000000003</v>
      </c>
      <c r="J592">
        <v>39.46</v>
      </c>
      <c r="K592">
        <v>80901.52</v>
      </c>
      <c r="L592">
        <v>78091.34</v>
      </c>
      <c r="M592">
        <v>3.4735812133072502E-2</v>
      </c>
      <c r="N592">
        <v>221</v>
      </c>
      <c r="O592" t="s">
        <v>18</v>
      </c>
      <c r="P592">
        <v>0.11167256189994899</v>
      </c>
      <c r="Q592">
        <v>2810.18</v>
      </c>
    </row>
    <row r="593" spans="1:17" x14ac:dyDescent="0.3">
      <c r="A593" t="s">
        <v>621</v>
      </c>
      <c r="B593" t="s">
        <v>23</v>
      </c>
      <c r="C593" s="1">
        <v>44718</v>
      </c>
      <c r="D593" s="1">
        <v>44731</v>
      </c>
      <c r="E593" t="s">
        <v>16</v>
      </c>
      <c r="F593">
        <v>13</v>
      </c>
      <c r="G593" t="s">
        <v>21</v>
      </c>
      <c r="H593">
        <v>811</v>
      </c>
      <c r="I593">
        <v>31.8</v>
      </c>
      <c r="J593">
        <v>30.33</v>
      </c>
      <c r="K593">
        <v>25789.8</v>
      </c>
      <c r="L593">
        <v>24597.63</v>
      </c>
      <c r="M593">
        <v>4.6226415094339703E-2</v>
      </c>
      <c r="N593">
        <v>58</v>
      </c>
      <c r="O593" t="s">
        <v>18</v>
      </c>
      <c r="P593">
        <v>7.1516646115906302E-2</v>
      </c>
      <c r="Q593">
        <v>1192.17</v>
      </c>
    </row>
    <row r="594" spans="1:17" x14ac:dyDescent="0.3">
      <c r="A594" t="s">
        <v>622</v>
      </c>
      <c r="B594" t="s">
        <v>15</v>
      </c>
      <c r="C594" s="1">
        <v>45285</v>
      </c>
      <c r="D594" s="1">
        <v>45303</v>
      </c>
      <c r="E594" t="s">
        <v>42</v>
      </c>
      <c r="F594">
        <v>18</v>
      </c>
      <c r="G594" t="s">
        <v>21</v>
      </c>
      <c r="H594">
        <v>1732</v>
      </c>
      <c r="I594">
        <v>15.37</v>
      </c>
      <c r="J594">
        <v>14.7</v>
      </c>
      <c r="K594">
        <v>26620.84</v>
      </c>
      <c r="L594">
        <v>25460.400000000001</v>
      </c>
      <c r="M594">
        <v>4.3591411841249303E-2</v>
      </c>
      <c r="N594">
        <v>38</v>
      </c>
      <c r="O594" t="s">
        <v>18</v>
      </c>
      <c r="P594">
        <v>2.1939953810623601E-2</v>
      </c>
      <c r="Q594">
        <v>1160.44</v>
      </c>
    </row>
    <row r="595" spans="1:17" x14ac:dyDescent="0.3">
      <c r="A595" t="s">
        <v>623</v>
      </c>
      <c r="B595" t="s">
        <v>26</v>
      </c>
      <c r="C595" s="1">
        <v>44781</v>
      </c>
      <c r="D595" s="1">
        <v>44801</v>
      </c>
      <c r="E595" t="s">
        <v>27</v>
      </c>
      <c r="F595">
        <v>20</v>
      </c>
      <c r="G595" t="s">
        <v>21</v>
      </c>
      <c r="H595">
        <v>491</v>
      </c>
      <c r="I595">
        <v>12.01</v>
      </c>
      <c r="J595">
        <v>11.67</v>
      </c>
      <c r="K595">
        <v>5896.91</v>
      </c>
      <c r="L595">
        <v>5729.97</v>
      </c>
      <c r="M595">
        <v>2.8309741881765101E-2</v>
      </c>
      <c r="N595">
        <v>47</v>
      </c>
      <c r="O595" t="s">
        <v>18</v>
      </c>
      <c r="P595">
        <v>9.5723014256619096E-2</v>
      </c>
      <c r="Q595">
        <v>166.94</v>
      </c>
    </row>
    <row r="596" spans="1:17" x14ac:dyDescent="0.3">
      <c r="A596" t="s">
        <v>624</v>
      </c>
      <c r="B596" t="s">
        <v>23</v>
      </c>
      <c r="C596" s="1">
        <v>44627</v>
      </c>
      <c r="D596" s="1">
        <v>44631</v>
      </c>
      <c r="E596" t="s">
        <v>27</v>
      </c>
      <c r="F596">
        <v>4</v>
      </c>
      <c r="G596" t="s">
        <v>17</v>
      </c>
      <c r="H596">
        <v>1681</v>
      </c>
      <c r="I596">
        <v>99.88</v>
      </c>
      <c r="J596">
        <v>96.38</v>
      </c>
      <c r="K596">
        <v>167898.28</v>
      </c>
      <c r="L596">
        <v>162014.78</v>
      </c>
      <c r="M596">
        <v>3.5042050460552698E-2</v>
      </c>
      <c r="N596">
        <v>90</v>
      </c>
      <c r="O596" t="s">
        <v>18</v>
      </c>
      <c r="P596">
        <v>5.3539559785841802E-2</v>
      </c>
      <c r="Q596">
        <v>5883.5</v>
      </c>
    </row>
    <row r="597" spans="1:17" x14ac:dyDescent="0.3">
      <c r="A597" t="s">
        <v>625</v>
      </c>
      <c r="B597" t="s">
        <v>15</v>
      </c>
      <c r="C597" s="1">
        <v>44986</v>
      </c>
      <c r="D597" s="1">
        <v>44990</v>
      </c>
      <c r="E597" t="s">
        <v>29</v>
      </c>
      <c r="F597">
        <v>4</v>
      </c>
      <c r="G597" t="s">
        <v>36</v>
      </c>
      <c r="H597">
        <v>818</v>
      </c>
      <c r="I597">
        <v>51.89</v>
      </c>
      <c r="J597">
        <v>47.85</v>
      </c>
      <c r="K597">
        <v>42446.02</v>
      </c>
      <c r="L597">
        <v>39141.300000000003</v>
      </c>
      <c r="M597">
        <v>7.7857005203314705E-2</v>
      </c>
      <c r="N597">
        <v>12</v>
      </c>
      <c r="O597" t="s">
        <v>18</v>
      </c>
      <c r="P597">
        <v>1.46699266503667E-2</v>
      </c>
      <c r="Q597">
        <v>3304.72</v>
      </c>
    </row>
    <row r="598" spans="1:17" x14ac:dyDescent="0.3">
      <c r="A598" t="s">
        <v>626</v>
      </c>
      <c r="B598" t="s">
        <v>26</v>
      </c>
      <c r="C598" s="1">
        <v>44979</v>
      </c>
      <c r="D598" s="1">
        <v>44990</v>
      </c>
      <c r="E598" t="s">
        <v>16</v>
      </c>
      <c r="F598">
        <v>11</v>
      </c>
      <c r="G598" t="s">
        <v>21</v>
      </c>
      <c r="H598">
        <v>1065</v>
      </c>
      <c r="I598">
        <v>47.49</v>
      </c>
      <c r="J598">
        <v>41.42</v>
      </c>
      <c r="K598">
        <v>50576.85</v>
      </c>
      <c r="L598">
        <v>44112.3</v>
      </c>
      <c r="M598">
        <v>0.127816382396294</v>
      </c>
      <c r="N598">
        <v>113</v>
      </c>
      <c r="O598" t="s">
        <v>18</v>
      </c>
      <c r="P598">
        <v>0.106103286384977</v>
      </c>
      <c r="Q598">
        <v>6464.55</v>
      </c>
    </row>
    <row r="599" spans="1:17" x14ac:dyDescent="0.3">
      <c r="A599" t="s">
        <v>627</v>
      </c>
      <c r="B599" t="s">
        <v>23</v>
      </c>
      <c r="C599" s="1">
        <v>44900</v>
      </c>
      <c r="D599" s="1">
        <v>44912</v>
      </c>
      <c r="E599" t="s">
        <v>27</v>
      </c>
      <c r="F599">
        <v>12</v>
      </c>
      <c r="G599" t="s">
        <v>21</v>
      </c>
      <c r="H599">
        <v>1398</v>
      </c>
      <c r="I599">
        <v>75.08</v>
      </c>
      <c r="J599">
        <v>67.09</v>
      </c>
      <c r="K599">
        <v>104961.84</v>
      </c>
      <c r="L599">
        <v>93791.82</v>
      </c>
      <c r="M599">
        <v>0.106419818859883</v>
      </c>
      <c r="N599">
        <v>57</v>
      </c>
      <c r="O599" t="s">
        <v>18</v>
      </c>
      <c r="P599">
        <v>4.07725321888412E-2</v>
      </c>
      <c r="Q599">
        <v>11170.02</v>
      </c>
    </row>
    <row r="600" spans="1:17" x14ac:dyDescent="0.3">
      <c r="A600" t="s">
        <v>628</v>
      </c>
      <c r="B600" t="s">
        <v>26</v>
      </c>
      <c r="C600" s="1">
        <v>45117</v>
      </c>
      <c r="D600" s="1">
        <v>45124</v>
      </c>
      <c r="E600" t="s">
        <v>27</v>
      </c>
      <c r="F600">
        <v>7</v>
      </c>
      <c r="G600" t="s">
        <v>21</v>
      </c>
      <c r="H600">
        <v>565</v>
      </c>
      <c r="I600">
        <v>32.31</v>
      </c>
      <c r="J600">
        <v>29.76</v>
      </c>
      <c r="K600">
        <v>18255.150000000001</v>
      </c>
      <c r="L600">
        <v>16814.400000000001</v>
      </c>
      <c r="M600">
        <v>7.8922934076137402E-2</v>
      </c>
      <c r="N600">
        <v>60</v>
      </c>
      <c r="O600" t="s">
        <v>18</v>
      </c>
      <c r="P600">
        <v>0.106194690265487</v>
      </c>
      <c r="Q600">
        <v>1440.75</v>
      </c>
    </row>
    <row r="601" spans="1:17" x14ac:dyDescent="0.3">
      <c r="A601" t="s">
        <v>629</v>
      </c>
      <c r="B601" t="s">
        <v>32</v>
      </c>
      <c r="C601" s="1">
        <v>45039</v>
      </c>
      <c r="D601" s="1">
        <v>45052</v>
      </c>
      <c r="E601" t="s">
        <v>27</v>
      </c>
      <c r="F601">
        <v>13</v>
      </c>
      <c r="G601" t="s">
        <v>38</v>
      </c>
      <c r="H601">
        <v>1089</v>
      </c>
      <c r="I601">
        <v>102.66</v>
      </c>
      <c r="J601">
        <v>89.21</v>
      </c>
      <c r="K601">
        <v>111796.74</v>
      </c>
      <c r="L601">
        <v>97149.69</v>
      </c>
      <c r="M601">
        <v>0.131015000974089</v>
      </c>
      <c r="N601">
        <v>33</v>
      </c>
      <c r="O601" t="s">
        <v>18</v>
      </c>
      <c r="P601">
        <v>3.03030303030303E-2</v>
      </c>
      <c r="Q601">
        <v>14647.05</v>
      </c>
    </row>
    <row r="602" spans="1:17" x14ac:dyDescent="0.3">
      <c r="A602" t="s">
        <v>630</v>
      </c>
      <c r="B602" t="s">
        <v>20</v>
      </c>
      <c r="C602" s="1">
        <v>44987</v>
      </c>
      <c r="D602" s="1">
        <v>44989</v>
      </c>
      <c r="E602" t="s">
        <v>42</v>
      </c>
      <c r="F602">
        <v>2</v>
      </c>
      <c r="G602" t="s">
        <v>21</v>
      </c>
      <c r="H602">
        <v>841</v>
      </c>
      <c r="I602">
        <v>86.43</v>
      </c>
      <c r="J602">
        <v>83.77</v>
      </c>
      <c r="K602">
        <v>72687.63</v>
      </c>
      <c r="L602">
        <v>70450.570000000007</v>
      </c>
      <c r="M602">
        <v>3.0776350804119099E-2</v>
      </c>
      <c r="N602">
        <v>125</v>
      </c>
      <c r="O602" t="s">
        <v>30</v>
      </c>
      <c r="P602">
        <v>0.14863258026159301</v>
      </c>
      <c r="Q602">
        <v>2237.06</v>
      </c>
    </row>
    <row r="603" spans="1:17" x14ac:dyDescent="0.3">
      <c r="A603" t="s">
        <v>631</v>
      </c>
      <c r="B603" t="s">
        <v>20</v>
      </c>
      <c r="C603" s="1">
        <v>44625</v>
      </c>
      <c r="D603" s="1">
        <v>44636</v>
      </c>
      <c r="E603" t="s">
        <v>42</v>
      </c>
      <c r="F603">
        <v>11</v>
      </c>
      <c r="G603" t="s">
        <v>21</v>
      </c>
      <c r="H603">
        <v>385</v>
      </c>
      <c r="I603">
        <v>18.23</v>
      </c>
      <c r="J603">
        <v>17.739999999999998</v>
      </c>
      <c r="K603">
        <v>7018.55</v>
      </c>
      <c r="L603">
        <v>6829.9</v>
      </c>
      <c r="M603">
        <v>2.6878771256171202E-2</v>
      </c>
      <c r="N603">
        <v>0</v>
      </c>
      <c r="O603" t="s">
        <v>18</v>
      </c>
      <c r="P603">
        <v>0</v>
      </c>
      <c r="Q603">
        <v>188.65</v>
      </c>
    </row>
    <row r="604" spans="1:17" x14ac:dyDescent="0.3">
      <c r="A604" t="s">
        <v>632</v>
      </c>
      <c r="B604" t="s">
        <v>32</v>
      </c>
      <c r="C604" s="1">
        <v>44773</v>
      </c>
      <c r="D604" s="1">
        <v>44790</v>
      </c>
      <c r="E604" t="s">
        <v>16</v>
      </c>
      <c r="F604">
        <v>17</v>
      </c>
      <c r="G604" t="s">
        <v>21</v>
      </c>
      <c r="H604">
        <v>1832</v>
      </c>
      <c r="I604">
        <v>49.01</v>
      </c>
      <c r="J604">
        <v>41.86</v>
      </c>
      <c r="K604">
        <v>89786.32</v>
      </c>
      <c r="L604">
        <v>76687.520000000004</v>
      </c>
      <c r="M604">
        <v>0.14588859416445599</v>
      </c>
      <c r="N604">
        <v>52</v>
      </c>
      <c r="O604" t="s">
        <v>18</v>
      </c>
      <c r="P604">
        <v>2.8384279475982498E-2</v>
      </c>
      <c r="Q604">
        <v>13098.8</v>
      </c>
    </row>
    <row r="605" spans="1:17" x14ac:dyDescent="0.3">
      <c r="A605" t="s">
        <v>633</v>
      </c>
      <c r="B605" t="s">
        <v>26</v>
      </c>
      <c r="C605" s="1">
        <v>44992</v>
      </c>
      <c r="D605" s="1">
        <v>45012</v>
      </c>
      <c r="E605" t="s">
        <v>29</v>
      </c>
      <c r="F605">
        <v>20</v>
      </c>
      <c r="G605" t="s">
        <v>21</v>
      </c>
      <c r="H605">
        <v>307</v>
      </c>
      <c r="I605">
        <v>95.36</v>
      </c>
      <c r="J605">
        <v>83.63</v>
      </c>
      <c r="K605">
        <v>29275.52</v>
      </c>
      <c r="L605">
        <v>25674.41</v>
      </c>
      <c r="M605">
        <v>0.12300755033557</v>
      </c>
      <c r="N605">
        <v>29</v>
      </c>
      <c r="O605" t="s">
        <v>18</v>
      </c>
      <c r="P605">
        <v>9.4462540716612406E-2</v>
      </c>
      <c r="Q605">
        <v>3601.11</v>
      </c>
    </row>
    <row r="606" spans="1:17" x14ac:dyDescent="0.3">
      <c r="A606" t="s">
        <v>634</v>
      </c>
      <c r="B606" t="s">
        <v>32</v>
      </c>
      <c r="C606" s="1">
        <v>44960</v>
      </c>
      <c r="D606" s="1">
        <v>44965</v>
      </c>
      <c r="E606" t="s">
        <v>16</v>
      </c>
      <c r="F606">
        <v>5</v>
      </c>
      <c r="G606" t="s">
        <v>21</v>
      </c>
      <c r="H606">
        <v>546</v>
      </c>
      <c r="I606">
        <v>101.2</v>
      </c>
      <c r="J606">
        <v>97.82</v>
      </c>
      <c r="K606">
        <v>55255.199999999997</v>
      </c>
      <c r="L606">
        <v>53409.72</v>
      </c>
      <c r="M606">
        <v>3.3399209486166197E-2</v>
      </c>
      <c r="N606">
        <v>21</v>
      </c>
      <c r="O606" t="s">
        <v>18</v>
      </c>
      <c r="P606">
        <v>3.8461538461538498E-2</v>
      </c>
      <c r="Q606">
        <v>1845.48</v>
      </c>
    </row>
    <row r="607" spans="1:17" x14ac:dyDescent="0.3">
      <c r="A607" t="s">
        <v>635</v>
      </c>
      <c r="B607" t="s">
        <v>20</v>
      </c>
      <c r="C607" s="1">
        <v>45160</v>
      </c>
      <c r="D607" s="1">
        <v>45180</v>
      </c>
      <c r="E607" t="s">
        <v>29</v>
      </c>
      <c r="F607">
        <v>20</v>
      </c>
      <c r="G607" t="s">
        <v>21</v>
      </c>
      <c r="H607">
        <v>945</v>
      </c>
      <c r="I607">
        <v>57.01</v>
      </c>
      <c r="J607">
        <v>55.14</v>
      </c>
      <c r="K607">
        <v>53874.45</v>
      </c>
      <c r="L607">
        <v>52107.3</v>
      </c>
      <c r="M607">
        <v>3.2801262936326903E-2</v>
      </c>
      <c r="N607">
        <v>147</v>
      </c>
      <c r="O607" t="s">
        <v>30</v>
      </c>
      <c r="P607">
        <v>0.155555555555556</v>
      </c>
      <c r="Q607">
        <v>1767.15</v>
      </c>
    </row>
    <row r="608" spans="1:17" x14ac:dyDescent="0.3">
      <c r="A608" t="s">
        <v>636</v>
      </c>
      <c r="B608" t="s">
        <v>20</v>
      </c>
      <c r="C608" s="1">
        <v>45274</v>
      </c>
      <c r="D608" s="1">
        <v>45287</v>
      </c>
      <c r="E608" t="s">
        <v>24</v>
      </c>
      <c r="F608">
        <v>13</v>
      </c>
      <c r="G608" t="s">
        <v>38</v>
      </c>
      <c r="H608">
        <v>209</v>
      </c>
      <c r="I608">
        <v>72.709999999999994</v>
      </c>
      <c r="J608">
        <v>64.34</v>
      </c>
      <c r="K608">
        <v>15196.39</v>
      </c>
      <c r="L608">
        <v>13447.06</v>
      </c>
      <c r="M608">
        <v>0.115114839774446</v>
      </c>
      <c r="N608">
        <v>39</v>
      </c>
      <c r="O608" t="s">
        <v>18</v>
      </c>
      <c r="P608">
        <v>0.18660287081339699</v>
      </c>
      <c r="Q608">
        <v>1749.33</v>
      </c>
    </row>
    <row r="609" spans="1:17" x14ac:dyDescent="0.3">
      <c r="A609" t="s">
        <v>637</v>
      </c>
      <c r="B609" t="s">
        <v>20</v>
      </c>
      <c r="C609" s="1">
        <v>45151</v>
      </c>
      <c r="D609" s="1">
        <v>45161</v>
      </c>
      <c r="E609" t="s">
        <v>29</v>
      </c>
      <c r="F609">
        <v>10</v>
      </c>
      <c r="G609" t="s">
        <v>21</v>
      </c>
      <c r="H609">
        <v>901</v>
      </c>
      <c r="I609">
        <v>108.63</v>
      </c>
      <c r="J609">
        <v>106.3</v>
      </c>
      <c r="K609">
        <v>97875.63</v>
      </c>
      <c r="L609">
        <v>95776.3</v>
      </c>
      <c r="M609">
        <v>2.1448955168921899E-2</v>
      </c>
      <c r="N609">
        <v>141</v>
      </c>
      <c r="O609" t="s">
        <v>18</v>
      </c>
      <c r="P609">
        <v>0.15649278579356299</v>
      </c>
      <c r="Q609">
        <v>2099.33</v>
      </c>
    </row>
    <row r="610" spans="1:17" x14ac:dyDescent="0.3">
      <c r="A610" t="s">
        <v>638</v>
      </c>
      <c r="B610" t="s">
        <v>32</v>
      </c>
      <c r="C610" s="1">
        <v>44951</v>
      </c>
      <c r="D610" s="1">
        <v>44968</v>
      </c>
      <c r="E610" t="s">
        <v>27</v>
      </c>
      <c r="F610">
        <v>17</v>
      </c>
      <c r="G610" t="s">
        <v>21</v>
      </c>
      <c r="H610">
        <v>1737</v>
      </c>
      <c r="I610">
        <v>32.700000000000003</v>
      </c>
      <c r="J610">
        <v>31.02</v>
      </c>
      <c r="K610">
        <v>56799.9</v>
      </c>
      <c r="L610">
        <v>53881.74</v>
      </c>
      <c r="M610">
        <v>5.1376146788990898E-2</v>
      </c>
      <c r="N610">
        <v>48</v>
      </c>
      <c r="O610" t="s">
        <v>18</v>
      </c>
      <c r="P610">
        <v>2.76338514680484E-2</v>
      </c>
      <c r="Q610">
        <v>2918.16</v>
      </c>
    </row>
    <row r="611" spans="1:17" x14ac:dyDescent="0.3">
      <c r="A611" t="s">
        <v>639</v>
      </c>
      <c r="B611" t="s">
        <v>26</v>
      </c>
      <c r="C611" s="1">
        <v>45050</v>
      </c>
      <c r="D611" s="1">
        <v>45068</v>
      </c>
      <c r="E611" t="s">
        <v>29</v>
      </c>
      <c r="F611">
        <v>18</v>
      </c>
      <c r="G611" t="s">
        <v>21</v>
      </c>
      <c r="H611">
        <v>1981</v>
      </c>
      <c r="I611">
        <v>102.43</v>
      </c>
      <c r="J611">
        <v>90.99</v>
      </c>
      <c r="K611">
        <v>202913.83</v>
      </c>
      <c r="L611">
        <v>180251.19</v>
      </c>
      <c r="M611">
        <v>0.11168602948355</v>
      </c>
      <c r="N611">
        <v>204</v>
      </c>
      <c r="O611" t="s">
        <v>18</v>
      </c>
      <c r="P611">
        <v>0.102978293791015</v>
      </c>
      <c r="Q611">
        <v>22662.639999999999</v>
      </c>
    </row>
    <row r="612" spans="1:17" x14ac:dyDescent="0.3">
      <c r="A612" t="s">
        <v>640</v>
      </c>
      <c r="B612" t="s">
        <v>32</v>
      </c>
      <c r="C612" s="1">
        <v>44568</v>
      </c>
      <c r="D612" s="1">
        <v>44587</v>
      </c>
      <c r="E612" t="s">
        <v>24</v>
      </c>
      <c r="F612">
        <v>19</v>
      </c>
      <c r="G612" t="s">
        <v>38</v>
      </c>
      <c r="H612">
        <v>739</v>
      </c>
      <c r="I612">
        <v>68.47</v>
      </c>
      <c r="J612">
        <v>66.09</v>
      </c>
      <c r="K612">
        <v>50599.33</v>
      </c>
      <c r="L612">
        <v>48840.51</v>
      </c>
      <c r="M612">
        <v>3.47597487950927E-2</v>
      </c>
      <c r="N612">
        <v>19</v>
      </c>
      <c r="O612" t="s">
        <v>18</v>
      </c>
      <c r="P612">
        <v>2.57104194857916E-2</v>
      </c>
      <c r="Q612">
        <v>1758.82</v>
      </c>
    </row>
    <row r="613" spans="1:17" x14ac:dyDescent="0.3">
      <c r="A613" t="s">
        <v>641</v>
      </c>
      <c r="B613" t="s">
        <v>26</v>
      </c>
      <c r="C613" s="1">
        <v>44922</v>
      </c>
      <c r="D613" s="1">
        <v>44923</v>
      </c>
      <c r="E613" t="s">
        <v>29</v>
      </c>
      <c r="F613">
        <v>1</v>
      </c>
      <c r="G613" t="s">
        <v>21</v>
      </c>
      <c r="H613">
        <v>1748</v>
      </c>
      <c r="I613">
        <v>68.25</v>
      </c>
      <c r="J613">
        <v>62.84</v>
      </c>
      <c r="K613">
        <v>119301</v>
      </c>
      <c r="L613">
        <v>109844.32</v>
      </c>
      <c r="M613">
        <v>7.9267399267399202E-2</v>
      </c>
      <c r="N613">
        <v>171</v>
      </c>
      <c r="O613" t="s">
        <v>18</v>
      </c>
      <c r="P613">
        <v>9.7826086956521799E-2</v>
      </c>
      <c r="Q613">
        <v>9456.68</v>
      </c>
    </row>
    <row r="614" spans="1:17" x14ac:dyDescent="0.3">
      <c r="A614" t="s">
        <v>642</v>
      </c>
      <c r="B614" t="s">
        <v>20</v>
      </c>
      <c r="C614" s="1">
        <v>44867</v>
      </c>
      <c r="D614" s="1">
        <v>44871</v>
      </c>
      <c r="E614" t="s">
        <v>16</v>
      </c>
      <c r="F614">
        <v>4</v>
      </c>
      <c r="G614" t="s">
        <v>17</v>
      </c>
      <c r="H614">
        <v>429</v>
      </c>
      <c r="I614">
        <v>58.95</v>
      </c>
      <c r="J614">
        <v>55.35</v>
      </c>
      <c r="K614">
        <v>25289.55</v>
      </c>
      <c r="L614">
        <v>23745.15</v>
      </c>
      <c r="M614">
        <v>6.1068702290076403E-2</v>
      </c>
      <c r="N614">
        <v>59</v>
      </c>
      <c r="O614" t="s">
        <v>30</v>
      </c>
      <c r="P614">
        <v>0.13752913752913801</v>
      </c>
      <c r="Q614">
        <v>1544.4</v>
      </c>
    </row>
    <row r="615" spans="1:17" x14ac:dyDescent="0.3">
      <c r="A615" t="s">
        <v>643</v>
      </c>
      <c r="B615" t="s">
        <v>26</v>
      </c>
      <c r="C615" s="1">
        <v>44991</v>
      </c>
      <c r="D615" s="1">
        <v>44992</v>
      </c>
      <c r="E615" t="s">
        <v>27</v>
      </c>
      <c r="F615">
        <v>1</v>
      </c>
      <c r="G615" t="s">
        <v>21</v>
      </c>
      <c r="H615">
        <v>1006</v>
      </c>
      <c r="I615">
        <v>27.7</v>
      </c>
      <c r="J615">
        <v>23.66</v>
      </c>
      <c r="K615">
        <v>27866.2</v>
      </c>
      <c r="L615">
        <v>23801.96</v>
      </c>
      <c r="M615">
        <v>0.145848375451264</v>
      </c>
      <c r="N615">
        <v>101</v>
      </c>
      <c r="O615" t="s">
        <v>30</v>
      </c>
      <c r="P615">
        <v>0.10039761431411499</v>
      </c>
      <c r="Q615">
        <v>4064.24</v>
      </c>
    </row>
    <row r="616" spans="1:17" x14ac:dyDescent="0.3">
      <c r="A616" t="s">
        <v>644</v>
      </c>
      <c r="B616" t="s">
        <v>26</v>
      </c>
      <c r="C616" s="1">
        <v>45113</v>
      </c>
      <c r="D616" s="1">
        <v>45122</v>
      </c>
      <c r="E616" t="s">
        <v>42</v>
      </c>
      <c r="F616">
        <v>9</v>
      </c>
      <c r="G616" t="s">
        <v>36</v>
      </c>
      <c r="H616">
        <v>740</v>
      </c>
      <c r="I616">
        <v>32.53</v>
      </c>
      <c r="J616">
        <v>29.35</v>
      </c>
      <c r="K616">
        <v>24072.2</v>
      </c>
      <c r="L616">
        <v>21719</v>
      </c>
      <c r="M616">
        <v>9.7755917614509705E-2</v>
      </c>
      <c r="N616">
        <v>84</v>
      </c>
      <c r="O616" t="s">
        <v>18</v>
      </c>
      <c r="P616">
        <v>0.11351351351351401</v>
      </c>
      <c r="Q616">
        <v>2353.1999999999998</v>
      </c>
    </row>
    <row r="617" spans="1:17" x14ac:dyDescent="0.3">
      <c r="A617" t="s">
        <v>645</v>
      </c>
      <c r="B617" t="s">
        <v>20</v>
      </c>
      <c r="C617" s="1">
        <v>45179</v>
      </c>
      <c r="D617" s="1">
        <v>45198</v>
      </c>
      <c r="E617" t="s">
        <v>16</v>
      </c>
      <c r="F617">
        <v>19</v>
      </c>
      <c r="G617" t="s">
        <v>17</v>
      </c>
      <c r="H617">
        <v>1686</v>
      </c>
      <c r="I617">
        <v>88.18</v>
      </c>
      <c r="J617">
        <v>77.150000000000006</v>
      </c>
      <c r="K617">
        <v>148671.48000000001</v>
      </c>
      <c r="L617">
        <v>130074.9</v>
      </c>
      <c r="M617">
        <v>0.125085053300068</v>
      </c>
      <c r="N617">
        <v>0</v>
      </c>
      <c r="O617" t="s">
        <v>18</v>
      </c>
      <c r="P617">
        <v>0</v>
      </c>
      <c r="Q617">
        <v>18596.580000000002</v>
      </c>
    </row>
    <row r="618" spans="1:17" x14ac:dyDescent="0.3">
      <c r="A618" t="s">
        <v>646</v>
      </c>
      <c r="B618" t="s">
        <v>32</v>
      </c>
      <c r="C618" s="1">
        <v>44787</v>
      </c>
      <c r="D618" s="1">
        <v>44789</v>
      </c>
      <c r="E618" t="s">
        <v>29</v>
      </c>
      <c r="F618">
        <v>2</v>
      </c>
      <c r="G618" t="s">
        <v>17</v>
      </c>
      <c r="H618">
        <v>1341</v>
      </c>
      <c r="I618">
        <v>42.96</v>
      </c>
      <c r="J618">
        <v>41.75</v>
      </c>
      <c r="K618">
        <v>57609.36</v>
      </c>
      <c r="L618">
        <v>55986.75</v>
      </c>
      <c r="M618">
        <v>2.8165735567970199E-2</v>
      </c>
      <c r="N618">
        <v>39</v>
      </c>
      <c r="O618" t="s">
        <v>18</v>
      </c>
      <c r="P618">
        <v>2.9082774049217001E-2</v>
      </c>
      <c r="Q618">
        <v>1622.61</v>
      </c>
    </row>
    <row r="619" spans="1:17" x14ac:dyDescent="0.3">
      <c r="A619" t="s">
        <v>647</v>
      </c>
      <c r="B619" t="s">
        <v>15</v>
      </c>
      <c r="C619" s="1">
        <v>45061</v>
      </c>
      <c r="D619" s="1">
        <v>45067</v>
      </c>
      <c r="E619" t="s">
        <v>24</v>
      </c>
      <c r="F619">
        <v>6</v>
      </c>
      <c r="G619" t="s">
        <v>17</v>
      </c>
      <c r="H619">
        <v>1908</v>
      </c>
      <c r="I619">
        <v>16.420000000000002</v>
      </c>
      <c r="J619">
        <v>15.31</v>
      </c>
      <c r="K619">
        <v>31329.360000000001</v>
      </c>
      <c r="L619">
        <v>29211.48</v>
      </c>
      <c r="M619">
        <v>6.7600487210718804E-2</v>
      </c>
      <c r="N619">
        <v>36</v>
      </c>
      <c r="O619" t="s">
        <v>18</v>
      </c>
      <c r="P619">
        <v>1.88679245283019E-2</v>
      </c>
      <c r="Q619">
        <v>2117.88</v>
      </c>
    </row>
    <row r="620" spans="1:17" x14ac:dyDescent="0.3">
      <c r="A620" t="s">
        <v>648</v>
      </c>
      <c r="B620" t="s">
        <v>23</v>
      </c>
      <c r="C620" s="1">
        <v>44786</v>
      </c>
      <c r="D620" s="1">
        <v>44806</v>
      </c>
      <c r="E620" t="s">
        <v>24</v>
      </c>
      <c r="F620">
        <v>20</v>
      </c>
      <c r="G620" t="s">
        <v>36</v>
      </c>
      <c r="H620">
        <v>1650</v>
      </c>
      <c r="I620">
        <v>100.62</v>
      </c>
      <c r="J620">
        <v>90.45</v>
      </c>
      <c r="K620">
        <v>166023</v>
      </c>
      <c r="L620">
        <v>149242.5</v>
      </c>
      <c r="M620">
        <v>0.101073345259392</v>
      </c>
      <c r="N620">
        <v>85</v>
      </c>
      <c r="O620" t="s">
        <v>18</v>
      </c>
      <c r="P620">
        <v>5.15151515151515E-2</v>
      </c>
      <c r="Q620">
        <v>16780.5</v>
      </c>
    </row>
    <row r="621" spans="1:17" x14ac:dyDescent="0.3">
      <c r="A621" t="s">
        <v>649</v>
      </c>
      <c r="B621" t="s">
        <v>15</v>
      </c>
      <c r="C621" s="1">
        <v>44841</v>
      </c>
      <c r="D621" s="1">
        <v>44854</v>
      </c>
      <c r="E621" t="s">
        <v>24</v>
      </c>
      <c r="F621">
        <v>13</v>
      </c>
      <c r="G621" t="s">
        <v>21</v>
      </c>
      <c r="H621">
        <v>1490</v>
      </c>
      <c r="I621">
        <v>93.57</v>
      </c>
      <c r="J621">
        <v>81.680000000000007</v>
      </c>
      <c r="K621">
        <v>139419.29999999999</v>
      </c>
      <c r="L621">
        <v>121703.2</v>
      </c>
      <c r="M621">
        <v>0.12707064229988199</v>
      </c>
      <c r="N621">
        <v>29</v>
      </c>
      <c r="O621" t="s">
        <v>18</v>
      </c>
      <c r="P621">
        <v>1.9463087248322099E-2</v>
      </c>
      <c r="Q621">
        <v>17716.099999999999</v>
      </c>
    </row>
    <row r="622" spans="1:17" x14ac:dyDescent="0.3">
      <c r="A622" t="s">
        <v>650</v>
      </c>
      <c r="B622" t="s">
        <v>20</v>
      </c>
      <c r="C622" s="1">
        <v>45008</v>
      </c>
      <c r="D622" s="1">
        <v>45016</v>
      </c>
      <c r="E622" t="s">
        <v>29</v>
      </c>
      <c r="F622">
        <v>8</v>
      </c>
      <c r="G622" t="s">
        <v>21</v>
      </c>
      <c r="H622">
        <v>1241</v>
      </c>
      <c r="I622">
        <v>100.04</v>
      </c>
      <c r="J622">
        <v>97.56</v>
      </c>
      <c r="K622">
        <v>124149.64</v>
      </c>
      <c r="L622">
        <v>121071.96</v>
      </c>
      <c r="M622">
        <v>2.4790083966413499E-2</v>
      </c>
      <c r="N622">
        <v>187</v>
      </c>
      <c r="O622" t="s">
        <v>18</v>
      </c>
      <c r="P622">
        <v>0.150684931506849</v>
      </c>
      <c r="Q622">
        <v>3077.68</v>
      </c>
    </row>
    <row r="623" spans="1:17" x14ac:dyDescent="0.3">
      <c r="A623" t="s">
        <v>651</v>
      </c>
      <c r="B623" t="s">
        <v>26</v>
      </c>
      <c r="C623" s="1">
        <v>45059</v>
      </c>
      <c r="D623" s="1">
        <v>45063</v>
      </c>
      <c r="E623" t="s">
        <v>24</v>
      </c>
      <c r="F623">
        <v>4</v>
      </c>
      <c r="G623" t="s">
        <v>21</v>
      </c>
      <c r="H623">
        <v>1915</v>
      </c>
      <c r="I623">
        <v>107.51</v>
      </c>
      <c r="J623">
        <v>102.66</v>
      </c>
      <c r="K623">
        <v>205881.65</v>
      </c>
      <c r="L623">
        <v>196593.9</v>
      </c>
      <c r="M623">
        <v>4.5112082596967903E-2</v>
      </c>
      <c r="N623">
        <v>184</v>
      </c>
      <c r="O623" t="s">
        <v>18</v>
      </c>
      <c r="P623">
        <v>9.6083550913838106E-2</v>
      </c>
      <c r="Q623">
        <v>9287.75</v>
      </c>
    </row>
    <row r="624" spans="1:17" x14ac:dyDescent="0.3">
      <c r="A624" t="s">
        <v>652</v>
      </c>
      <c r="B624" t="s">
        <v>26</v>
      </c>
      <c r="C624" s="1">
        <v>44591</v>
      </c>
      <c r="D624" s="1">
        <v>44606</v>
      </c>
      <c r="E624" t="s">
        <v>29</v>
      </c>
      <c r="F624">
        <v>15</v>
      </c>
      <c r="G624" t="s">
        <v>21</v>
      </c>
      <c r="H624">
        <v>1116</v>
      </c>
      <c r="I624">
        <v>25.65</v>
      </c>
      <c r="J624">
        <v>24.28</v>
      </c>
      <c r="K624">
        <v>28625.4</v>
      </c>
      <c r="L624">
        <v>27096.48</v>
      </c>
      <c r="M624">
        <v>5.3411306042884903E-2</v>
      </c>
      <c r="N624">
        <v>121</v>
      </c>
      <c r="O624" t="s">
        <v>18</v>
      </c>
      <c r="P624">
        <v>0.10842293906809999</v>
      </c>
      <c r="Q624">
        <v>1528.92</v>
      </c>
    </row>
    <row r="625" spans="1:17" x14ac:dyDescent="0.3">
      <c r="A625" t="s">
        <v>653</v>
      </c>
      <c r="B625" t="s">
        <v>20</v>
      </c>
      <c r="C625" s="1">
        <v>44960</v>
      </c>
      <c r="D625" s="1">
        <v>44965</v>
      </c>
      <c r="E625" t="s">
        <v>29</v>
      </c>
      <c r="F625">
        <v>5</v>
      </c>
      <c r="G625" t="s">
        <v>21</v>
      </c>
      <c r="H625">
        <v>1629</v>
      </c>
      <c r="I625">
        <v>48.63</v>
      </c>
      <c r="J625">
        <v>43.28</v>
      </c>
      <c r="K625">
        <v>79218.27</v>
      </c>
      <c r="L625">
        <v>70503.12</v>
      </c>
      <c r="M625">
        <v>0.110014394406745</v>
      </c>
      <c r="N625">
        <v>260</v>
      </c>
      <c r="O625" t="s">
        <v>18</v>
      </c>
      <c r="P625">
        <v>0.15960712093308799</v>
      </c>
      <c r="Q625">
        <v>8715.15</v>
      </c>
    </row>
    <row r="626" spans="1:17" x14ac:dyDescent="0.3">
      <c r="A626" t="s">
        <v>654</v>
      </c>
      <c r="B626" t="s">
        <v>32</v>
      </c>
      <c r="C626" s="1">
        <v>44906</v>
      </c>
      <c r="D626" s="1">
        <v>44913</v>
      </c>
      <c r="E626" t="s">
        <v>16</v>
      </c>
      <c r="F626">
        <v>7</v>
      </c>
      <c r="G626" t="s">
        <v>21</v>
      </c>
      <c r="H626">
        <v>334</v>
      </c>
      <c r="I626">
        <v>82.54</v>
      </c>
      <c r="J626">
        <v>74.63</v>
      </c>
      <c r="K626">
        <v>27568.36</v>
      </c>
      <c r="L626">
        <v>24926.42</v>
      </c>
      <c r="M626">
        <v>9.5832323721831897E-2</v>
      </c>
      <c r="N626">
        <v>0</v>
      </c>
      <c r="O626" t="s">
        <v>18</v>
      </c>
      <c r="P626">
        <v>0</v>
      </c>
      <c r="Q626">
        <v>2641.94</v>
      </c>
    </row>
    <row r="627" spans="1:17" x14ac:dyDescent="0.3">
      <c r="A627" t="s">
        <v>655</v>
      </c>
      <c r="B627" t="s">
        <v>32</v>
      </c>
      <c r="C627" s="1">
        <v>45246</v>
      </c>
      <c r="D627" s="1">
        <v>45266</v>
      </c>
      <c r="E627" t="s">
        <v>27</v>
      </c>
      <c r="F627">
        <v>20</v>
      </c>
      <c r="G627" t="s">
        <v>21</v>
      </c>
      <c r="H627">
        <v>446</v>
      </c>
      <c r="I627">
        <v>80.63</v>
      </c>
      <c r="J627">
        <v>70.37</v>
      </c>
      <c r="K627">
        <v>35960.980000000003</v>
      </c>
      <c r="L627">
        <v>31385.02</v>
      </c>
      <c r="M627">
        <v>0.12724792260945</v>
      </c>
      <c r="N627">
        <v>0</v>
      </c>
      <c r="O627" t="s">
        <v>18</v>
      </c>
      <c r="P627">
        <v>0</v>
      </c>
      <c r="Q627">
        <v>4575.96</v>
      </c>
    </row>
    <row r="628" spans="1:17" x14ac:dyDescent="0.3">
      <c r="A628" t="s">
        <v>656</v>
      </c>
      <c r="B628" t="s">
        <v>20</v>
      </c>
      <c r="C628" s="1">
        <v>44976</v>
      </c>
      <c r="D628" s="1">
        <v>44978</v>
      </c>
      <c r="E628" t="s">
        <v>27</v>
      </c>
      <c r="F628">
        <v>2</v>
      </c>
      <c r="G628" t="s">
        <v>21</v>
      </c>
      <c r="H628">
        <v>1680</v>
      </c>
      <c r="I628">
        <v>88.85</v>
      </c>
      <c r="J628">
        <v>87.53</v>
      </c>
      <c r="K628">
        <v>149268</v>
      </c>
      <c r="L628">
        <v>147050.4</v>
      </c>
      <c r="M628">
        <v>1.48564997186269E-2</v>
      </c>
      <c r="N628">
        <v>0</v>
      </c>
      <c r="O628" t="s">
        <v>18</v>
      </c>
      <c r="P628">
        <v>0</v>
      </c>
      <c r="Q628">
        <v>2217.6</v>
      </c>
    </row>
    <row r="629" spans="1:17" x14ac:dyDescent="0.3">
      <c r="A629" t="s">
        <v>657</v>
      </c>
      <c r="B629" t="s">
        <v>20</v>
      </c>
      <c r="C629" s="1">
        <v>44731</v>
      </c>
      <c r="D629" s="1">
        <v>44748</v>
      </c>
      <c r="E629" t="s">
        <v>42</v>
      </c>
      <c r="F629">
        <v>17</v>
      </c>
      <c r="G629" t="s">
        <v>21</v>
      </c>
      <c r="H629">
        <v>1375</v>
      </c>
      <c r="I629">
        <v>30.95</v>
      </c>
      <c r="J629">
        <v>30.02</v>
      </c>
      <c r="K629">
        <v>42556.25</v>
      </c>
      <c r="L629">
        <v>41277.5</v>
      </c>
      <c r="M629">
        <v>3.0048465266559E-2</v>
      </c>
      <c r="N629">
        <v>223</v>
      </c>
      <c r="O629" t="s">
        <v>18</v>
      </c>
      <c r="P629">
        <v>0.16218181818181801</v>
      </c>
      <c r="Q629">
        <v>1278.75</v>
      </c>
    </row>
    <row r="630" spans="1:17" x14ac:dyDescent="0.3">
      <c r="A630" t="s">
        <v>658</v>
      </c>
      <c r="B630" t="s">
        <v>20</v>
      </c>
      <c r="C630" s="1">
        <v>45040</v>
      </c>
      <c r="D630" s="1">
        <v>45051</v>
      </c>
      <c r="E630" t="s">
        <v>42</v>
      </c>
      <c r="F630">
        <v>11</v>
      </c>
      <c r="G630" t="s">
        <v>36</v>
      </c>
      <c r="H630">
        <v>1971</v>
      </c>
      <c r="I630">
        <v>32.4</v>
      </c>
      <c r="J630">
        <v>30.48</v>
      </c>
      <c r="K630">
        <v>63860.4</v>
      </c>
      <c r="L630">
        <v>60076.08</v>
      </c>
      <c r="M630">
        <v>5.9259259259259102E-2</v>
      </c>
      <c r="N630">
        <v>321</v>
      </c>
      <c r="O630" t="s">
        <v>18</v>
      </c>
      <c r="P630">
        <v>0.16286149162861499</v>
      </c>
      <c r="Q630">
        <v>3784.32</v>
      </c>
    </row>
    <row r="631" spans="1:17" x14ac:dyDescent="0.3">
      <c r="A631" t="s">
        <v>659</v>
      </c>
      <c r="B631" t="s">
        <v>20</v>
      </c>
      <c r="C631" s="1">
        <v>45199</v>
      </c>
      <c r="D631" s="1">
        <v>45212</v>
      </c>
      <c r="E631" t="s">
        <v>24</v>
      </c>
      <c r="F631">
        <v>13</v>
      </c>
      <c r="G631" t="s">
        <v>17</v>
      </c>
      <c r="H631">
        <v>548</v>
      </c>
      <c r="I631">
        <v>69.7</v>
      </c>
      <c r="J631">
        <v>61.87</v>
      </c>
      <c r="K631">
        <v>38195.599999999999</v>
      </c>
      <c r="L631">
        <v>33904.76</v>
      </c>
      <c r="M631">
        <v>0.11233859397417501</v>
      </c>
      <c r="N631">
        <v>90</v>
      </c>
      <c r="O631" t="s">
        <v>18</v>
      </c>
      <c r="P631">
        <v>0.16423357664233601</v>
      </c>
      <c r="Q631">
        <v>4290.84</v>
      </c>
    </row>
    <row r="632" spans="1:17" x14ac:dyDescent="0.3">
      <c r="A632" t="s">
        <v>660</v>
      </c>
      <c r="B632" t="s">
        <v>26</v>
      </c>
      <c r="C632" s="1">
        <v>45108</v>
      </c>
      <c r="D632" s="1">
        <v>45114</v>
      </c>
      <c r="E632" t="s">
        <v>24</v>
      </c>
      <c r="F632">
        <v>6</v>
      </c>
      <c r="G632" t="s">
        <v>21</v>
      </c>
      <c r="H632">
        <v>803</v>
      </c>
      <c r="I632">
        <v>67.81</v>
      </c>
      <c r="J632">
        <v>61.53</v>
      </c>
      <c r="K632">
        <v>54451.43</v>
      </c>
      <c r="L632">
        <v>49408.59</v>
      </c>
      <c r="M632">
        <v>9.2611709187435401E-2</v>
      </c>
      <c r="N632">
        <v>78</v>
      </c>
      <c r="O632" t="s">
        <v>18</v>
      </c>
      <c r="P632">
        <v>9.7135740971357395E-2</v>
      </c>
      <c r="Q632">
        <v>5042.84</v>
      </c>
    </row>
    <row r="633" spans="1:17" x14ac:dyDescent="0.3">
      <c r="A633" t="s">
        <v>661</v>
      </c>
      <c r="B633" t="s">
        <v>15</v>
      </c>
      <c r="C633" s="1">
        <v>44589</v>
      </c>
      <c r="D633" s="1">
        <v>44607</v>
      </c>
      <c r="E633" t="s">
        <v>24</v>
      </c>
      <c r="F633">
        <v>18</v>
      </c>
      <c r="G633" t="s">
        <v>21</v>
      </c>
      <c r="H633">
        <v>84</v>
      </c>
      <c r="I633">
        <v>18.23</v>
      </c>
      <c r="J633">
        <v>15.55</v>
      </c>
      <c r="K633">
        <v>1531.32</v>
      </c>
      <c r="L633">
        <v>1306.2</v>
      </c>
      <c r="M633">
        <v>0.14701042238069101</v>
      </c>
      <c r="N633">
        <v>0</v>
      </c>
      <c r="O633" t="s">
        <v>18</v>
      </c>
      <c r="P633">
        <v>0</v>
      </c>
      <c r="Q633">
        <v>225.12</v>
      </c>
    </row>
    <row r="634" spans="1:17" x14ac:dyDescent="0.3">
      <c r="A634" t="s">
        <v>662</v>
      </c>
      <c r="B634" t="s">
        <v>32</v>
      </c>
      <c r="C634" s="1">
        <v>44965</v>
      </c>
      <c r="D634" s="1">
        <v>44977</v>
      </c>
      <c r="E634" t="s">
        <v>27</v>
      </c>
      <c r="F634">
        <v>12</v>
      </c>
      <c r="G634" t="s">
        <v>21</v>
      </c>
      <c r="H634">
        <v>776</v>
      </c>
      <c r="I634">
        <v>94.75</v>
      </c>
      <c r="J634">
        <v>90.89</v>
      </c>
      <c r="K634">
        <v>73526</v>
      </c>
      <c r="L634">
        <v>70530.64</v>
      </c>
      <c r="M634">
        <v>4.07387862796834E-2</v>
      </c>
      <c r="N634">
        <v>19</v>
      </c>
      <c r="O634" t="s">
        <v>18</v>
      </c>
      <c r="P634">
        <v>2.4484536082474199E-2</v>
      </c>
      <c r="Q634">
        <v>2995.36</v>
      </c>
    </row>
    <row r="635" spans="1:17" x14ac:dyDescent="0.3">
      <c r="A635" t="s">
        <v>663</v>
      </c>
      <c r="B635" t="s">
        <v>15</v>
      </c>
      <c r="C635" s="1">
        <v>45168</v>
      </c>
      <c r="D635" s="1">
        <v>45177</v>
      </c>
      <c r="E635" t="s">
        <v>24</v>
      </c>
      <c r="F635">
        <v>9</v>
      </c>
      <c r="G635" t="s">
        <v>21</v>
      </c>
      <c r="H635">
        <v>898</v>
      </c>
      <c r="I635">
        <v>37.119999999999997</v>
      </c>
      <c r="J635">
        <v>35.54</v>
      </c>
      <c r="K635">
        <v>33333.760000000002</v>
      </c>
      <c r="L635">
        <v>31914.92</v>
      </c>
      <c r="M635">
        <v>4.2564655172413701E-2</v>
      </c>
      <c r="N635">
        <v>18</v>
      </c>
      <c r="O635" t="s">
        <v>30</v>
      </c>
      <c r="P635">
        <v>2.0044543429844099E-2</v>
      </c>
      <c r="Q635">
        <v>1418.84</v>
      </c>
    </row>
    <row r="636" spans="1:17" x14ac:dyDescent="0.3">
      <c r="A636" t="s">
        <v>664</v>
      </c>
      <c r="B636" t="s">
        <v>26</v>
      </c>
      <c r="C636" s="1">
        <v>45139</v>
      </c>
      <c r="D636" s="1">
        <v>45146</v>
      </c>
      <c r="E636" t="s">
        <v>16</v>
      </c>
      <c r="F636">
        <v>7</v>
      </c>
      <c r="G636" t="s">
        <v>17</v>
      </c>
      <c r="H636">
        <v>139</v>
      </c>
      <c r="I636">
        <v>23.71</v>
      </c>
      <c r="J636">
        <v>20.18</v>
      </c>
      <c r="K636">
        <v>3295.69</v>
      </c>
      <c r="L636">
        <v>2805.02</v>
      </c>
      <c r="M636">
        <v>0.14888232813159</v>
      </c>
      <c r="N636">
        <v>14</v>
      </c>
      <c r="O636" t="s">
        <v>18</v>
      </c>
      <c r="P636">
        <v>0.100719424460432</v>
      </c>
      <c r="Q636">
        <v>490.67</v>
      </c>
    </row>
    <row r="637" spans="1:17" x14ac:dyDescent="0.3">
      <c r="A637" t="s">
        <v>665</v>
      </c>
      <c r="B637" t="s">
        <v>15</v>
      </c>
      <c r="C637" s="1">
        <v>44589</v>
      </c>
      <c r="D637" s="1">
        <v>44599</v>
      </c>
      <c r="E637" t="s">
        <v>24</v>
      </c>
      <c r="F637">
        <v>10</v>
      </c>
      <c r="G637" t="s">
        <v>21</v>
      </c>
      <c r="H637">
        <v>654</v>
      </c>
      <c r="I637">
        <v>96.01</v>
      </c>
      <c r="J637">
        <v>90.31</v>
      </c>
      <c r="K637">
        <v>62790.54</v>
      </c>
      <c r="L637">
        <v>59062.74</v>
      </c>
      <c r="M637">
        <v>5.9368815748359602E-2</v>
      </c>
      <c r="N637">
        <v>10</v>
      </c>
      <c r="O637" t="s">
        <v>18</v>
      </c>
      <c r="P637">
        <v>1.5290519877675801E-2</v>
      </c>
      <c r="Q637">
        <v>3727.8</v>
      </c>
    </row>
    <row r="638" spans="1:17" x14ac:dyDescent="0.3">
      <c r="A638" t="s">
        <v>666</v>
      </c>
      <c r="B638" t="s">
        <v>23</v>
      </c>
      <c r="C638" s="1">
        <v>44647</v>
      </c>
      <c r="D638" s="1">
        <v>44657</v>
      </c>
      <c r="E638" t="s">
        <v>24</v>
      </c>
      <c r="F638">
        <v>10</v>
      </c>
      <c r="G638" t="s">
        <v>21</v>
      </c>
      <c r="H638">
        <v>1995</v>
      </c>
      <c r="I638">
        <v>88.47</v>
      </c>
      <c r="J638">
        <v>82.65</v>
      </c>
      <c r="K638">
        <v>176497.65</v>
      </c>
      <c r="L638">
        <v>164886.75</v>
      </c>
      <c r="M638">
        <v>6.5785011868429999E-2</v>
      </c>
      <c r="N638">
        <v>87</v>
      </c>
      <c r="O638" t="s">
        <v>30</v>
      </c>
      <c r="P638">
        <v>4.3609022556391E-2</v>
      </c>
      <c r="Q638">
        <v>11610.9</v>
      </c>
    </row>
    <row r="639" spans="1:17" x14ac:dyDescent="0.3">
      <c r="A639" t="s">
        <v>667</v>
      </c>
      <c r="B639" t="s">
        <v>26</v>
      </c>
      <c r="C639" s="1">
        <v>45220</v>
      </c>
      <c r="D639" s="1">
        <v>45227</v>
      </c>
      <c r="E639" t="s">
        <v>24</v>
      </c>
      <c r="F639">
        <v>7</v>
      </c>
      <c r="G639" t="s">
        <v>21</v>
      </c>
      <c r="H639">
        <v>1019</v>
      </c>
      <c r="I639">
        <v>91.56</v>
      </c>
      <c r="J639">
        <v>77.930000000000007</v>
      </c>
      <c r="K639">
        <v>93299.64</v>
      </c>
      <c r="L639">
        <v>79410.67</v>
      </c>
      <c r="M639">
        <v>0.148864132809087</v>
      </c>
      <c r="N639">
        <v>111</v>
      </c>
      <c r="O639" t="s">
        <v>30</v>
      </c>
      <c r="P639">
        <v>0.108930323846909</v>
      </c>
      <c r="Q639">
        <v>13888.97</v>
      </c>
    </row>
    <row r="640" spans="1:17" x14ac:dyDescent="0.3">
      <c r="A640" t="s">
        <v>668</v>
      </c>
      <c r="B640" t="s">
        <v>32</v>
      </c>
      <c r="C640" s="1">
        <v>45000</v>
      </c>
      <c r="D640" s="1">
        <v>45016</v>
      </c>
      <c r="E640" t="s">
        <v>27</v>
      </c>
      <c r="F640">
        <v>16</v>
      </c>
      <c r="G640" t="s">
        <v>38</v>
      </c>
      <c r="H640">
        <v>1675</v>
      </c>
      <c r="I640">
        <v>73.8</v>
      </c>
      <c r="J640">
        <v>65.34</v>
      </c>
      <c r="K640">
        <v>123615</v>
      </c>
      <c r="L640">
        <v>109444.5</v>
      </c>
      <c r="M640">
        <v>0.114634146341463</v>
      </c>
      <c r="N640">
        <v>42</v>
      </c>
      <c r="O640" t="s">
        <v>18</v>
      </c>
      <c r="P640">
        <v>2.50746268656716E-2</v>
      </c>
      <c r="Q640">
        <v>14170.5</v>
      </c>
    </row>
    <row r="641" spans="1:17" x14ac:dyDescent="0.3">
      <c r="A641" t="s">
        <v>669</v>
      </c>
      <c r="B641" t="s">
        <v>23</v>
      </c>
      <c r="C641" s="1">
        <v>44700</v>
      </c>
      <c r="D641" s="1">
        <v>44712</v>
      </c>
      <c r="E641" t="s">
        <v>29</v>
      </c>
      <c r="F641">
        <v>12</v>
      </c>
      <c r="G641" t="s">
        <v>38</v>
      </c>
      <c r="H641">
        <v>1071</v>
      </c>
      <c r="I641">
        <v>60.77</v>
      </c>
      <c r="J641">
        <v>58.5</v>
      </c>
      <c r="K641">
        <v>65084.67</v>
      </c>
      <c r="L641">
        <v>62653.5</v>
      </c>
      <c r="M641">
        <v>3.7353957544841297E-2</v>
      </c>
      <c r="N641">
        <v>0</v>
      </c>
      <c r="O641" t="s">
        <v>18</v>
      </c>
      <c r="P641">
        <v>0</v>
      </c>
      <c r="Q641">
        <v>2431.17</v>
      </c>
    </row>
    <row r="642" spans="1:17" x14ac:dyDescent="0.3">
      <c r="A642" t="s">
        <v>670</v>
      </c>
      <c r="B642" t="s">
        <v>26</v>
      </c>
      <c r="C642" s="1">
        <v>45034</v>
      </c>
      <c r="D642" s="1">
        <v>45043</v>
      </c>
      <c r="E642" t="s">
        <v>16</v>
      </c>
      <c r="F642">
        <v>9</v>
      </c>
      <c r="G642" t="s">
        <v>21</v>
      </c>
      <c r="H642">
        <v>467</v>
      </c>
      <c r="I642">
        <v>19.170000000000002</v>
      </c>
      <c r="J642">
        <v>17.11</v>
      </c>
      <c r="K642">
        <v>8952.39</v>
      </c>
      <c r="L642">
        <v>7990.37</v>
      </c>
      <c r="M642">
        <v>0.107459572248305</v>
      </c>
      <c r="N642">
        <v>49</v>
      </c>
      <c r="O642" t="s">
        <v>18</v>
      </c>
      <c r="P642">
        <v>0.104925053533191</v>
      </c>
      <c r="Q642">
        <v>962.02</v>
      </c>
    </row>
    <row r="643" spans="1:17" x14ac:dyDescent="0.3">
      <c r="A643" t="s">
        <v>671</v>
      </c>
      <c r="B643" t="s">
        <v>20</v>
      </c>
      <c r="C643" s="1">
        <v>44748</v>
      </c>
      <c r="D643" s="1">
        <v>44767</v>
      </c>
      <c r="E643" t="s">
        <v>24</v>
      </c>
      <c r="F643">
        <v>19</v>
      </c>
      <c r="G643" t="s">
        <v>38</v>
      </c>
      <c r="H643">
        <v>164</v>
      </c>
      <c r="I643">
        <v>48.16</v>
      </c>
      <c r="J643">
        <v>47.46</v>
      </c>
      <c r="K643">
        <v>7898.24</v>
      </c>
      <c r="L643">
        <v>7783.44</v>
      </c>
      <c r="M643">
        <v>1.4534883720930101E-2</v>
      </c>
      <c r="N643">
        <v>27</v>
      </c>
      <c r="O643" t="s">
        <v>18</v>
      </c>
      <c r="P643">
        <v>0.16463414634146301</v>
      </c>
      <c r="Q643">
        <v>114.8</v>
      </c>
    </row>
    <row r="644" spans="1:17" x14ac:dyDescent="0.3">
      <c r="A644" t="s">
        <v>672</v>
      </c>
      <c r="B644" t="s">
        <v>32</v>
      </c>
      <c r="C644" s="1">
        <v>44613</v>
      </c>
      <c r="D644" s="1">
        <v>44626</v>
      </c>
      <c r="E644" t="s">
        <v>42</v>
      </c>
      <c r="F644">
        <v>13</v>
      </c>
      <c r="G644" t="s">
        <v>17</v>
      </c>
      <c r="H644">
        <v>666</v>
      </c>
      <c r="I644">
        <v>43.76</v>
      </c>
      <c r="J644">
        <v>41.13</v>
      </c>
      <c r="K644">
        <v>29144.16</v>
      </c>
      <c r="L644">
        <v>27392.58</v>
      </c>
      <c r="M644">
        <v>6.01005484460694E-2</v>
      </c>
      <c r="N644">
        <v>18</v>
      </c>
      <c r="O644" t="s">
        <v>18</v>
      </c>
      <c r="P644">
        <v>2.7027027027027001E-2</v>
      </c>
      <c r="Q644">
        <v>1751.58</v>
      </c>
    </row>
    <row r="645" spans="1:17" x14ac:dyDescent="0.3">
      <c r="A645" t="s">
        <v>673</v>
      </c>
      <c r="B645" t="s">
        <v>20</v>
      </c>
      <c r="C645" s="1">
        <v>44828</v>
      </c>
      <c r="D645" s="1">
        <v>44841</v>
      </c>
      <c r="E645" t="s">
        <v>27</v>
      </c>
      <c r="F645">
        <v>13</v>
      </c>
      <c r="G645" t="s">
        <v>36</v>
      </c>
      <c r="H645">
        <v>1976</v>
      </c>
      <c r="I645">
        <v>34.71</v>
      </c>
      <c r="J645">
        <v>31.56</v>
      </c>
      <c r="K645">
        <v>68586.960000000006</v>
      </c>
      <c r="L645">
        <v>62362.559999999998</v>
      </c>
      <c r="M645">
        <v>9.0751944684529101E-2</v>
      </c>
      <c r="N645">
        <v>286</v>
      </c>
      <c r="O645" t="s">
        <v>30</v>
      </c>
      <c r="P645">
        <v>0.144736842105263</v>
      </c>
      <c r="Q645">
        <v>6224.4</v>
      </c>
    </row>
    <row r="646" spans="1:17" x14ac:dyDescent="0.3">
      <c r="A646" t="s">
        <v>674</v>
      </c>
      <c r="B646" t="s">
        <v>32</v>
      </c>
      <c r="C646" s="1">
        <v>44950</v>
      </c>
      <c r="D646" s="1">
        <v>44955</v>
      </c>
      <c r="E646" t="s">
        <v>24</v>
      </c>
      <c r="F646">
        <v>5</v>
      </c>
      <c r="G646" t="s">
        <v>21</v>
      </c>
      <c r="H646">
        <v>1269</v>
      </c>
      <c r="I646">
        <v>79.61</v>
      </c>
      <c r="J646">
        <v>71.86</v>
      </c>
      <c r="K646">
        <v>101025.09</v>
      </c>
      <c r="L646">
        <v>91190.34</v>
      </c>
      <c r="M646">
        <v>9.7349579198593106E-2</v>
      </c>
      <c r="N646">
        <v>47</v>
      </c>
      <c r="O646" t="s">
        <v>18</v>
      </c>
      <c r="P646">
        <v>3.7037037037037E-2</v>
      </c>
      <c r="Q646">
        <v>9834.75</v>
      </c>
    </row>
    <row r="647" spans="1:17" x14ac:dyDescent="0.3">
      <c r="A647" t="s">
        <v>675</v>
      </c>
      <c r="B647" t="s">
        <v>32</v>
      </c>
      <c r="C647" s="1">
        <v>44897</v>
      </c>
      <c r="D647" s="1">
        <v>44907</v>
      </c>
      <c r="E647" t="s">
        <v>24</v>
      </c>
      <c r="F647">
        <v>10</v>
      </c>
      <c r="G647" t="s">
        <v>21</v>
      </c>
      <c r="H647">
        <v>875</v>
      </c>
      <c r="I647">
        <v>57.63</v>
      </c>
      <c r="J647">
        <v>51.8</v>
      </c>
      <c r="K647">
        <v>50426.25</v>
      </c>
      <c r="L647">
        <v>45325</v>
      </c>
      <c r="M647">
        <v>0.101162588929377</v>
      </c>
      <c r="N647">
        <v>16</v>
      </c>
      <c r="O647" t="s">
        <v>18</v>
      </c>
      <c r="P647">
        <v>1.8285714285714301E-2</v>
      </c>
      <c r="Q647">
        <v>5101.25</v>
      </c>
    </row>
    <row r="648" spans="1:17" x14ac:dyDescent="0.3">
      <c r="A648" t="s">
        <v>676</v>
      </c>
      <c r="B648" t="s">
        <v>32</v>
      </c>
      <c r="C648" s="1">
        <v>45027</v>
      </c>
      <c r="D648" s="1">
        <v>45042</v>
      </c>
      <c r="E648" t="s">
        <v>16</v>
      </c>
      <c r="F648">
        <v>15</v>
      </c>
      <c r="G648" t="s">
        <v>36</v>
      </c>
      <c r="H648">
        <v>1699</v>
      </c>
      <c r="I648">
        <v>32.049999999999997</v>
      </c>
      <c r="J648">
        <v>29.34</v>
      </c>
      <c r="K648">
        <v>54452.95</v>
      </c>
      <c r="L648">
        <v>49848.66</v>
      </c>
      <c r="M648">
        <v>8.4555382215288605E-2</v>
      </c>
      <c r="N648">
        <v>69</v>
      </c>
      <c r="O648" t="s">
        <v>18</v>
      </c>
      <c r="P648">
        <v>4.0612124779281902E-2</v>
      </c>
      <c r="Q648">
        <v>4604.29</v>
      </c>
    </row>
    <row r="649" spans="1:17" x14ac:dyDescent="0.3">
      <c r="A649" t="s">
        <v>677</v>
      </c>
      <c r="B649" t="s">
        <v>15</v>
      </c>
      <c r="C649" s="1">
        <v>44896</v>
      </c>
      <c r="D649" s="1">
        <v>44912</v>
      </c>
      <c r="E649" t="s">
        <v>42</v>
      </c>
      <c r="F649">
        <v>16</v>
      </c>
      <c r="G649" t="s">
        <v>21</v>
      </c>
      <c r="H649">
        <v>1566</v>
      </c>
      <c r="I649">
        <v>75.430000000000007</v>
      </c>
      <c r="J649">
        <v>71.27</v>
      </c>
      <c r="K649">
        <v>118123.38</v>
      </c>
      <c r="L649">
        <v>111608.82</v>
      </c>
      <c r="M649">
        <v>5.5150470635025997E-2</v>
      </c>
      <c r="N649">
        <v>27</v>
      </c>
      <c r="O649" t="s">
        <v>18</v>
      </c>
      <c r="P649">
        <v>1.72413793103448E-2</v>
      </c>
      <c r="Q649">
        <v>6514.56</v>
      </c>
    </row>
    <row r="650" spans="1:17" x14ac:dyDescent="0.3">
      <c r="A650" t="s">
        <v>678</v>
      </c>
      <c r="B650" t="s">
        <v>23</v>
      </c>
      <c r="C650" s="1">
        <v>44907</v>
      </c>
      <c r="D650" s="1">
        <v>44925</v>
      </c>
      <c r="E650" t="s">
        <v>42</v>
      </c>
      <c r="F650">
        <v>18</v>
      </c>
      <c r="G650" t="s">
        <v>21</v>
      </c>
      <c r="H650">
        <v>1148</v>
      </c>
      <c r="I650">
        <v>17.78</v>
      </c>
      <c r="J650">
        <v>17.16</v>
      </c>
      <c r="K650">
        <v>20411.439999999999</v>
      </c>
      <c r="L650">
        <v>19699.68</v>
      </c>
      <c r="M650">
        <v>3.4870641169853903E-2</v>
      </c>
      <c r="N650">
        <v>61</v>
      </c>
      <c r="O650" t="s">
        <v>18</v>
      </c>
      <c r="P650">
        <v>5.3135888501742203E-2</v>
      </c>
      <c r="Q650">
        <v>711.76</v>
      </c>
    </row>
    <row r="651" spans="1:17" x14ac:dyDescent="0.3">
      <c r="A651" t="s">
        <v>679</v>
      </c>
      <c r="B651" t="s">
        <v>32</v>
      </c>
      <c r="C651" s="1">
        <v>44950</v>
      </c>
      <c r="D651" s="1">
        <v>44968</v>
      </c>
      <c r="E651" t="s">
        <v>16</v>
      </c>
      <c r="F651">
        <v>18</v>
      </c>
      <c r="G651" t="s">
        <v>21</v>
      </c>
      <c r="H651">
        <v>462</v>
      </c>
      <c r="I651">
        <v>91.81</v>
      </c>
      <c r="J651">
        <v>83.14</v>
      </c>
      <c r="K651">
        <v>42416.22</v>
      </c>
      <c r="L651">
        <v>38410.68</v>
      </c>
      <c r="M651">
        <v>9.4434157499183102E-2</v>
      </c>
      <c r="N651">
        <v>11</v>
      </c>
      <c r="O651" t="s">
        <v>18</v>
      </c>
      <c r="P651">
        <v>2.3809523809523801E-2</v>
      </c>
      <c r="Q651">
        <v>4005.54</v>
      </c>
    </row>
    <row r="652" spans="1:17" x14ac:dyDescent="0.3">
      <c r="A652" t="s">
        <v>680</v>
      </c>
      <c r="B652" t="s">
        <v>23</v>
      </c>
      <c r="C652" s="1">
        <v>44846</v>
      </c>
      <c r="D652" s="1">
        <v>44851</v>
      </c>
      <c r="E652" t="s">
        <v>27</v>
      </c>
      <c r="F652">
        <v>5</v>
      </c>
      <c r="G652" t="s">
        <v>21</v>
      </c>
      <c r="H652">
        <v>1449</v>
      </c>
      <c r="I652">
        <v>57.02</v>
      </c>
      <c r="J652">
        <v>49.28</v>
      </c>
      <c r="K652">
        <v>82621.98</v>
      </c>
      <c r="L652">
        <v>71406.720000000001</v>
      </c>
      <c r="M652">
        <v>0.13574184496667799</v>
      </c>
      <c r="N652">
        <v>71</v>
      </c>
      <c r="O652" t="s">
        <v>18</v>
      </c>
      <c r="P652">
        <v>4.8999309868875102E-2</v>
      </c>
      <c r="Q652">
        <v>11215.26</v>
      </c>
    </row>
    <row r="653" spans="1:17" x14ac:dyDescent="0.3">
      <c r="A653" t="s">
        <v>681</v>
      </c>
      <c r="B653" t="s">
        <v>32</v>
      </c>
      <c r="C653" s="1">
        <v>44993</v>
      </c>
      <c r="D653" s="1">
        <v>45012</v>
      </c>
      <c r="E653" t="s">
        <v>24</v>
      </c>
      <c r="F653">
        <v>19</v>
      </c>
      <c r="G653" t="s">
        <v>21</v>
      </c>
      <c r="H653">
        <v>1493</v>
      </c>
      <c r="I653">
        <v>56.98</v>
      </c>
      <c r="J653">
        <v>52.51</v>
      </c>
      <c r="K653">
        <v>85071.14</v>
      </c>
      <c r="L653">
        <v>78397.429999999993</v>
      </c>
      <c r="M653">
        <v>7.8448578448578499E-2</v>
      </c>
      <c r="N653">
        <v>43</v>
      </c>
      <c r="O653" t="s">
        <v>18</v>
      </c>
      <c r="P653">
        <v>2.8801071667783E-2</v>
      </c>
      <c r="Q653">
        <v>6673.71</v>
      </c>
    </row>
    <row r="654" spans="1:17" x14ac:dyDescent="0.3">
      <c r="A654" t="s">
        <v>682</v>
      </c>
      <c r="B654" t="s">
        <v>15</v>
      </c>
      <c r="C654" s="1">
        <v>44820</v>
      </c>
      <c r="D654" s="1">
        <v>44822</v>
      </c>
      <c r="E654" t="s">
        <v>16</v>
      </c>
      <c r="F654">
        <v>2</v>
      </c>
      <c r="G654" t="s">
        <v>21</v>
      </c>
      <c r="H654">
        <v>778</v>
      </c>
      <c r="I654">
        <v>65.849999999999994</v>
      </c>
      <c r="J654">
        <v>62.08</v>
      </c>
      <c r="K654">
        <v>51231.3</v>
      </c>
      <c r="L654">
        <v>48298.239999999998</v>
      </c>
      <c r="M654">
        <v>5.7251328777524597E-2</v>
      </c>
      <c r="N654">
        <v>0</v>
      </c>
      <c r="O654" t="s">
        <v>30</v>
      </c>
      <c r="P654">
        <v>0</v>
      </c>
      <c r="Q654">
        <v>2933.06</v>
      </c>
    </row>
    <row r="655" spans="1:17" x14ac:dyDescent="0.3">
      <c r="A655" t="s">
        <v>683</v>
      </c>
      <c r="B655" t="s">
        <v>20</v>
      </c>
      <c r="C655" s="1">
        <v>44645</v>
      </c>
      <c r="D655" s="1">
        <v>44662</v>
      </c>
      <c r="E655" t="s">
        <v>27</v>
      </c>
      <c r="F655">
        <v>17</v>
      </c>
      <c r="G655" t="s">
        <v>36</v>
      </c>
      <c r="H655">
        <v>1350</v>
      </c>
      <c r="I655">
        <v>85.06</v>
      </c>
      <c r="J655">
        <v>82.34</v>
      </c>
      <c r="K655">
        <v>114831</v>
      </c>
      <c r="L655">
        <v>111159</v>
      </c>
      <c r="M655">
        <v>3.1977427698095501E-2</v>
      </c>
      <c r="N655">
        <v>0</v>
      </c>
      <c r="O655" t="s">
        <v>30</v>
      </c>
      <c r="P655">
        <v>0</v>
      </c>
      <c r="Q655">
        <v>3672</v>
      </c>
    </row>
    <row r="656" spans="1:17" x14ac:dyDescent="0.3">
      <c r="A656" t="s">
        <v>684</v>
      </c>
      <c r="B656" t="s">
        <v>32</v>
      </c>
      <c r="C656" s="1">
        <v>45043</v>
      </c>
      <c r="D656" s="1">
        <v>45051</v>
      </c>
      <c r="E656" t="s">
        <v>27</v>
      </c>
      <c r="F656">
        <v>8</v>
      </c>
      <c r="G656" t="s">
        <v>21</v>
      </c>
      <c r="H656">
        <v>1070</v>
      </c>
      <c r="I656">
        <v>44.4</v>
      </c>
      <c r="J656">
        <v>40.07</v>
      </c>
      <c r="K656">
        <v>47508</v>
      </c>
      <c r="L656">
        <v>42874.9</v>
      </c>
      <c r="M656">
        <v>9.7522522522522498E-2</v>
      </c>
      <c r="N656">
        <v>26</v>
      </c>
      <c r="O656" t="s">
        <v>18</v>
      </c>
      <c r="P656">
        <v>2.4299065420560699E-2</v>
      </c>
      <c r="Q656">
        <v>4633.1000000000004</v>
      </c>
    </row>
    <row r="657" spans="1:17" x14ac:dyDescent="0.3">
      <c r="A657" t="s">
        <v>685</v>
      </c>
      <c r="B657" t="s">
        <v>26</v>
      </c>
      <c r="C657" s="1">
        <v>44581</v>
      </c>
      <c r="D657" s="1">
        <v>44595</v>
      </c>
      <c r="E657" t="s">
        <v>27</v>
      </c>
      <c r="F657">
        <v>14</v>
      </c>
      <c r="G657" t="s">
        <v>38</v>
      </c>
      <c r="H657">
        <v>810</v>
      </c>
      <c r="I657">
        <v>71.02</v>
      </c>
      <c r="J657">
        <v>66.8</v>
      </c>
      <c r="K657">
        <v>57526.2</v>
      </c>
      <c r="L657">
        <v>54108</v>
      </c>
      <c r="M657">
        <v>5.94198817234581E-2</v>
      </c>
      <c r="N657">
        <v>73</v>
      </c>
      <c r="O657" t="s">
        <v>18</v>
      </c>
      <c r="P657">
        <v>9.0123456790123402E-2</v>
      </c>
      <c r="Q657">
        <v>3418.2</v>
      </c>
    </row>
    <row r="658" spans="1:17" x14ac:dyDescent="0.3">
      <c r="A658" t="s">
        <v>686</v>
      </c>
      <c r="B658" t="s">
        <v>20</v>
      </c>
      <c r="C658" s="1">
        <v>45114</v>
      </c>
      <c r="D658" s="1">
        <v>45130</v>
      </c>
      <c r="E658" t="s">
        <v>27</v>
      </c>
      <c r="F658">
        <v>16</v>
      </c>
      <c r="G658" t="s">
        <v>17</v>
      </c>
      <c r="H658">
        <v>725</v>
      </c>
      <c r="I658">
        <v>66.400000000000006</v>
      </c>
      <c r="J658">
        <v>62.1</v>
      </c>
      <c r="K658">
        <v>48140</v>
      </c>
      <c r="L658">
        <v>45022.5</v>
      </c>
      <c r="M658">
        <v>6.4759036144578397E-2</v>
      </c>
      <c r="N658">
        <v>118</v>
      </c>
      <c r="O658" t="s">
        <v>18</v>
      </c>
      <c r="P658">
        <v>0.16275862068965499</v>
      </c>
      <c r="Q658">
        <v>3117.5</v>
      </c>
    </row>
    <row r="659" spans="1:17" x14ac:dyDescent="0.3">
      <c r="A659" t="s">
        <v>687</v>
      </c>
      <c r="B659" t="s">
        <v>15</v>
      </c>
      <c r="C659" s="1">
        <v>44615</v>
      </c>
      <c r="D659" s="1">
        <v>44620</v>
      </c>
      <c r="E659" t="s">
        <v>42</v>
      </c>
      <c r="F659">
        <v>5</v>
      </c>
      <c r="G659" t="s">
        <v>21</v>
      </c>
      <c r="H659">
        <v>1467</v>
      </c>
      <c r="I659">
        <v>34.200000000000003</v>
      </c>
      <c r="J659">
        <v>30.5</v>
      </c>
      <c r="K659">
        <v>50171.4</v>
      </c>
      <c r="L659">
        <v>44743.5</v>
      </c>
      <c r="M659">
        <v>0.108187134502924</v>
      </c>
      <c r="N659">
        <v>25</v>
      </c>
      <c r="O659" t="s">
        <v>18</v>
      </c>
      <c r="P659">
        <v>1.7041581458759399E-2</v>
      </c>
      <c r="Q659">
        <v>5427.9</v>
      </c>
    </row>
    <row r="660" spans="1:17" x14ac:dyDescent="0.3">
      <c r="A660" t="s">
        <v>688</v>
      </c>
      <c r="B660" t="s">
        <v>26</v>
      </c>
      <c r="C660" s="1">
        <v>44920</v>
      </c>
      <c r="D660" s="1">
        <v>44938</v>
      </c>
      <c r="E660" t="s">
        <v>27</v>
      </c>
      <c r="F660">
        <v>18</v>
      </c>
      <c r="G660" t="s">
        <v>21</v>
      </c>
      <c r="H660">
        <v>1942</v>
      </c>
      <c r="I660">
        <v>93.98</v>
      </c>
      <c r="J660">
        <v>81.31</v>
      </c>
      <c r="K660">
        <v>182509.16</v>
      </c>
      <c r="L660">
        <v>157904.01999999999</v>
      </c>
      <c r="M660">
        <v>0.134815918280485</v>
      </c>
      <c r="N660">
        <v>198</v>
      </c>
      <c r="O660" t="s">
        <v>18</v>
      </c>
      <c r="P660">
        <v>0.101956745623069</v>
      </c>
      <c r="Q660">
        <v>24605.14</v>
      </c>
    </row>
    <row r="661" spans="1:17" x14ac:dyDescent="0.3">
      <c r="A661" t="s">
        <v>689</v>
      </c>
      <c r="B661" t="s">
        <v>15</v>
      </c>
      <c r="C661" s="1">
        <v>45227</v>
      </c>
      <c r="D661" s="1">
        <v>45243</v>
      </c>
      <c r="E661" t="s">
        <v>24</v>
      </c>
      <c r="F661">
        <v>16</v>
      </c>
      <c r="G661" t="s">
        <v>21</v>
      </c>
      <c r="H661">
        <v>969</v>
      </c>
      <c r="I661">
        <v>76.53</v>
      </c>
      <c r="J661">
        <v>75.64</v>
      </c>
      <c r="K661">
        <v>74157.570000000007</v>
      </c>
      <c r="L661">
        <v>73295.16</v>
      </c>
      <c r="M661">
        <v>1.1629426368744301E-2</v>
      </c>
      <c r="N661">
        <v>30</v>
      </c>
      <c r="O661" t="s">
        <v>18</v>
      </c>
      <c r="P661">
        <v>3.09597523219814E-2</v>
      </c>
      <c r="Q661">
        <v>862.41</v>
      </c>
    </row>
    <row r="662" spans="1:17" x14ac:dyDescent="0.3">
      <c r="A662" t="s">
        <v>690</v>
      </c>
      <c r="B662" t="s">
        <v>20</v>
      </c>
      <c r="C662" s="1">
        <v>44632</v>
      </c>
      <c r="D662" s="1">
        <v>44639</v>
      </c>
      <c r="E662" t="s">
        <v>24</v>
      </c>
      <c r="F662">
        <v>7</v>
      </c>
      <c r="G662" t="s">
        <v>21</v>
      </c>
      <c r="H662">
        <v>241</v>
      </c>
      <c r="I662">
        <v>87.42</v>
      </c>
      <c r="J662">
        <v>82.15</v>
      </c>
      <c r="K662">
        <v>21068.22</v>
      </c>
      <c r="L662">
        <v>19798.150000000001</v>
      </c>
      <c r="M662">
        <v>6.0283687943262401E-2</v>
      </c>
      <c r="N662">
        <v>0</v>
      </c>
      <c r="O662" t="s">
        <v>18</v>
      </c>
      <c r="P662">
        <v>0</v>
      </c>
      <c r="Q662">
        <v>1270.07</v>
      </c>
    </row>
    <row r="663" spans="1:17" x14ac:dyDescent="0.3">
      <c r="A663" t="s">
        <v>691</v>
      </c>
      <c r="B663" t="s">
        <v>23</v>
      </c>
      <c r="C663" s="1">
        <v>45229</v>
      </c>
      <c r="D663" s="1">
        <v>45239</v>
      </c>
      <c r="E663" t="s">
        <v>29</v>
      </c>
      <c r="F663">
        <v>10</v>
      </c>
      <c r="G663" t="s">
        <v>21</v>
      </c>
      <c r="H663">
        <v>788</v>
      </c>
      <c r="I663">
        <v>97.3</v>
      </c>
      <c r="J663">
        <v>94.44</v>
      </c>
      <c r="K663">
        <v>76672.399999999994</v>
      </c>
      <c r="L663">
        <v>74418.720000000001</v>
      </c>
      <c r="M663">
        <v>2.93936279547789E-2</v>
      </c>
      <c r="N663">
        <v>32</v>
      </c>
      <c r="O663" t="s">
        <v>18</v>
      </c>
      <c r="P663">
        <v>4.0609137055837602E-2</v>
      </c>
      <c r="Q663">
        <v>2253.6799999999998</v>
      </c>
    </row>
    <row r="664" spans="1:17" x14ac:dyDescent="0.3">
      <c r="A664" t="s">
        <v>692</v>
      </c>
      <c r="B664" t="s">
        <v>23</v>
      </c>
      <c r="C664" s="1">
        <v>44603</v>
      </c>
      <c r="D664" s="1">
        <v>44605</v>
      </c>
      <c r="E664" t="s">
        <v>16</v>
      </c>
      <c r="F664">
        <v>2</v>
      </c>
      <c r="G664" t="s">
        <v>21</v>
      </c>
      <c r="H664">
        <v>1762</v>
      </c>
      <c r="I664">
        <v>74.12</v>
      </c>
      <c r="J664">
        <v>65.709999999999994</v>
      </c>
      <c r="K664">
        <v>130599.44</v>
      </c>
      <c r="L664">
        <v>115781.02</v>
      </c>
      <c r="M664">
        <v>0.113464651915812</v>
      </c>
      <c r="N664">
        <v>94</v>
      </c>
      <c r="O664" t="s">
        <v>18</v>
      </c>
      <c r="P664">
        <v>5.3348467650397302E-2</v>
      </c>
      <c r="Q664">
        <v>14818.42</v>
      </c>
    </row>
    <row r="665" spans="1:17" x14ac:dyDescent="0.3">
      <c r="A665" t="s">
        <v>693</v>
      </c>
      <c r="B665" t="s">
        <v>20</v>
      </c>
      <c r="C665" s="1">
        <v>44815</v>
      </c>
      <c r="D665" s="1">
        <v>44834</v>
      </c>
      <c r="E665" t="s">
        <v>16</v>
      </c>
      <c r="F665">
        <v>19</v>
      </c>
      <c r="G665" t="s">
        <v>21</v>
      </c>
      <c r="H665">
        <v>1621</v>
      </c>
      <c r="I665">
        <v>75.680000000000007</v>
      </c>
      <c r="J665">
        <v>73.78</v>
      </c>
      <c r="K665">
        <v>122677.28</v>
      </c>
      <c r="L665">
        <v>119597.38</v>
      </c>
      <c r="M665">
        <v>2.5105708245243202E-2</v>
      </c>
      <c r="N665">
        <v>226</v>
      </c>
      <c r="O665" t="s">
        <v>30</v>
      </c>
      <c r="P665">
        <v>0.13942011104256599</v>
      </c>
      <c r="Q665">
        <v>3079.9</v>
      </c>
    </row>
    <row r="666" spans="1:17" x14ac:dyDescent="0.3">
      <c r="A666" t="s">
        <v>694</v>
      </c>
      <c r="B666" t="s">
        <v>15</v>
      </c>
      <c r="C666" s="1">
        <v>44766</v>
      </c>
      <c r="D666" s="1">
        <v>44768</v>
      </c>
      <c r="E666" t="s">
        <v>27</v>
      </c>
      <c r="F666">
        <v>2</v>
      </c>
      <c r="G666" t="s">
        <v>21</v>
      </c>
      <c r="H666">
        <v>1027</v>
      </c>
      <c r="I666">
        <v>73.349999999999994</v>
      </c>
      <c r="J666">
        <v>65.42</v>
      </c>
      <c r="K666">
        <v>75330.45</v>
      </c>
      <c r="L666">
        <v>67186.34</v>
      </c>
      <c r="M666">
        <v>0.108111792774369</v>
      </c>
      <c r="N666">
        <v>24</v>
      </c>
      <c r="O666" t="s">
        <v>30</v>
      </c>
      <c r="P666">
        <v>2.3369036027263899E-2</v>
      </c>
      <c r="Q666">
        <v>8144.11</v>
      </c>
    </row>
    <row r="667" spans="1:17" x14ac:dyDescent="0.3">
      <c r="A667" t="s">
        <v>695</v>
      </c>
      <c r="B667" t="s">
        <v>26</v>
      </c>
      <c r="C667" s="1">
        <v>45198</v>
      </c>
      <c r="D667" s="1">
        <v>45204</v>
      </c>
      <c r="E667" t="s">
        <v>27</v>
      </c>
      <c r="F667">
        <v>6</v>
      </c>
      <c r="G667" t="s">
        <v>21</v>
      </c>
      <c r="H667">
        <v>145</v>
      </c>
      <c r="I667">
        <v>85.52</v>
      </c>
      <c r="J667">
        <v>81.86</v>
      </c>
      <c r="K667">
        <v>12400.4</v>
      </c>
      <c r="L667">
        <v>11869.7</v>
      </c>
      <c r="M667">
        <v>4.2797006548175802E-2</v>
      </c>
      <c r="N667">
        <v>11</v>
      </c>
      <c r="O667" t="s">
        <v>30</v>
      </c>
      <c r="P667">
        <v>7.5862068965517199E-2</v>
      </c>
      <c r="Q667">
        <v>530.70000000000005</v>
      </c>
    </row>
    <row r="668" spans="1:17" x14ac:dyDescent="0.3">
      <c r="A668" t="s">
        <v>696</v>
      </c>
      <c r="B668" t="s">
        <v>23</v>
      </c>
      <c r="C668" s="1">
        <v>44806</v>
      </c>
      <c r="D668" s="1">
        <v>44819</v>
      </c>
      <c r="E668" t="s">
        <v>42</v>
      </c>
      <c r="F668">
        <v>13</v>
      </c>
      <c r="G668" t="s">
        <v>21</v>
      </c>
      <c r="H668">
        <v>712</v>
      </c>
      <c r="I668">
        <v>92.85</v>
      </c>
      <c r="J668">
        <v>89.39</v>
      </c>
      <c r="K668">
        <v>66109.2</v>
      </c>
      <c r="L668">
        <v>63645.68</v>
      </c>
      <c r="M668">
        <v>3.7264404954227198E-2</v>
      </c>
      <c r="N668">
        <v>43</v>
      </c>
      <c r="O668" t="s">
        <v>18</v>
      </c>
      <c r="P668">
        <v>6.0393258426966301E-2</v>
      </c>
      <c r="Q668">
        <v>2463.52</v>
      </c>
    </row>
    <row r="669" spans="1:17" x14ac:dyDescent="0.3">
      <c r="A669" t="s">
        <v>697</v>
      </c>
      <c r="B669" t="s">
        <v>32</v>
      </c>
      <c r="C669" s="1">
        <v>44691</v>
      </c>
      <c r="D669" s="1">
        <v>44697</v>
      </c>
      <c r="E669" t="s">
        <v>42</v>
      </c>
      <c r="F669">
        <v>6</v>
      </c>
      <c r="G669" t="s">
        <v>21</v>
      </c>
      <c r="H669">
        <v>1263</v>
      </c>
      <c r="I669">
        <v>90.24</v>
      </c>
      <c r="J669">
        <v>86.84</v>
      </c>
      <c r="K669">
        <v>113973.12</v>
      </c>
      <c r="L669">
        <v>109678.92</v>
      </c>
      <c r="M669">
        <v>3.7677304964538999E-2</v>
      </c>
      <c r="N669">
        <v>28</v>
      </c>
      <c r="O669" t="s">
        <v>18</v>
      </c>
      <c r="P669">
        <v>2.2169437846397501E-2</v>
      </c>
      <c r="Q669">
        <v>4294.2</v>
      </c>
    </row>
    <row r="670" spans="1:17" x14ac:dyDescent="0.3">
      <c r="A670" t="s">
        <v>698</v>
      </c>
      <c r="B670" t="s">
        <v>26</v>
      </c>
      <c r="C670" s="1">
        <v>45139</v>
      </c>
      <c r="D670" s="1">
        <v>45140</v>
      </c>
      <c r="E670" t="s">
        <v>42</v>
      </c>
      <c r="F670">
        <v>1</v>
      </c>
      <c r="G670" t="s">
        <v>21</v>
      </c>
      <c r="H670">
        <v>1442</v>
      </c>
      <c r="I670">
        <v>43.98</v>
      </c>
      <c r="J670">
        <v>41.82</v>
      </c>
      <c r="K670">
        <v>63419.16</v>
      </c>
      <c r="L670">
        <v>60304.44</v>
      </c>
      <c r="M670">
        <v>4.9113233287858001E-2</v>
      </c>
      <c r="N670">
        <v>140</v>
      </c>
      <c r="O670" t="s">
        <v>30</v>
      </c>
      <c r="P670">
        <v>9.7087378640776698E-2</v>
      </c>
      <c r="Q670">
        <v>3114.72</v>
      </c>
    </row>
    <row r="671" spans="1:17" x14ac:dyDescent="0.3">
      <c r="A671" t="s">
        <v>699</v>
      </c>
      <c r="B671" t="s">
        <v>26</v>
      </c>
      <c r="C671" s="1">
        <v>44785</v>
      </c>
      <c r="D671" s="1">
        <v>44805</v>
      </c>
      <c r="E671" t="s">
        <v>16</v>
      </c>
      <c r="F671">
        <v>20</v>
      </c>
      <c r="G671" t="s">
        <v>38</v>
      </c>
      <c r="H671">
        <v>1768</v>
      </c>
      <c r="I671">
        <v>79.61</v>
      </c>
      <c r="J671">
        <v>74.97</v>
      </c>
      <c r="K671">
        <v>140750.48000000001</v>
      </c>
      <c r="L671">
        <v>132546.96</v>
      </c>
      <c r="M671">
        <v>5.8284135158899797E-2</v>
      </c>
      <c r="N671">
        <v>207</v>
      </c>
      <c r="O671" t="s">
        <v>30</v>
      </c>
      <c r="P671">
        <v>0.117081447963801</v>
      </c>
      <c r="Q671">
        <v>8203.52</v>
      </c>
    </row>
    <row r="672" spans="1:17" x14ac:dyDescent="0.3">
      <c r="A672" t="s">
        <v>700</v>
      </c>
      <c r="B672" t="s">
        <v>26</v>
      </c>
      <c r="C672" s="1">
        <v>45038</v>
      </c>
      <c r="D672" s="1">
        <v>45049</v>
      </c>
      <c r="E672" t="s">
        <v>42</v>
      </c>
      <c r="F672">
        <v>11</v>
      </c>
      <c r="G672" t="s">
        <v>36</v>
      </c>
      <c r="H672">
        <v>1598</v>
      </c>
      <c r="I672">
        <v>26.3</v>
      </c>
      <c r="J672">
        <v>26.03</v>
      </c>
      <c r="K672">
        <v>42027.4</v>
      </c>
      <c r="L672">
        <v>41595.94</v>
      </c>
      <c r="M672">
        <v>1.02661596958175E-2</v>
      </c>
      <c r="N672">
        <v>154</v>
      </c>
      <c r="O672" t="s">
        <v>30</v>
      </c>
      <c r="P672">
        <v>9.6370463078848598E-2</v>
      </c>
      <c r="Q672">
        <v>431.46</v>
      </c>
    </row>
    <row r="673" spans="1:17" x14ac:dyDescent="0.3">
      <c r="A673" t="s">
        <v>701</v>
      </c>
      <c r="B673" t="s">
        <v>15</v>
      </c>
      <c r="C673" s="1">
        <v>45278</v>
      </c>
      <c r="D673" s="1">
        <v>45296</v>
      </c>
      <c r="E673" t="s">
        <v>24</v>
      </c>
      <c r="F673">
        <v>18</v>
      </c>
      <c r="G673" t="s">
        <v>17</v>
      </c>
      <c r="H673">
        <v>328</v>
      </c>
      <c r="I673">
        <v>93.23</v>
      </c>
      <c r="J673">
        <v>82.63</v>
      </c>
      <c r="K673">
        <v>30579.439999999999</v>
      </c>
      <c r="L673">
        <v>27102.639999999999</v>
      </c>
      <c r="M673">
        <v>0.113697307733562</v>
      </c>
      <c r="N673">
        <v>6</v>
      </c>
      <c r="O673" t="s">
        <v>18</v>
      </c>
      <c r="P673">
        <v>1.8292682926829298E-2</v>
      </c>
      <c r="Q673">
        <v>3476.8</v>
      </c>
    </row>
    <row r="674" spans="1:17" x14ac:dyDescent="0.3">
      <c r="A674" t="s">
        <v>702</v>
      </c>
      <c r="B674" t="s">
        <v>32</v>
      </c>
      <c r="C674" s="1">
        <v>44824</v>
      </c>
      <c r="D674" s="1">
        <v>44829</v>
      </c>
      <c r="E674" t="s">
        <v>27</v>
      </c>
      <c r="F674">
        <v>5</v>
      </c>
      <c r="G674" t="s">
        <v>21</v>
      </c>
      <c r="H674">
        <v>266</v>
      </c>
      <c r="I674">
        <v>88.29</v>
      </c>
      <c r="J674">
        <v>80.22</v>
      </c>
      <c r="K674">
        <v>23485.14</v>
      </c>
      <c r="L674">
        <v>21338.52</v>
      </c>
      <c r="M674">
        <v>9.1403329935440106E-2</v>
      </c>
      <c r="N674">
        <v>4</v>
      </c>
      <c r="O674" t="s">
        <v>18</v>
      </c>
      <c r="P674">
        <v>1.50375939849624E-2</v>
      </c>
      <c r="Q674">
        <v>2146.62</v>
      </c>
    </row>
    <row r="675" spans="1:17" x14ac:dyDescent="0.3">
      <c r="A675" t="s">
        <v>703</v>
      </c>
      <c r="B675" t="s">
        <v>23</v>
      </c>
      <c r="C675" s="1">
        <v>44939</v>
      </c>
      <c r="D675" s="1">
        <v>44954</v>
      </c>
      <c r="E675" t="s">
        <v>29</v>
      </c>
      <c r="F675">
        <v>15</v>
      </c>
      <c r="G675" t="s">
        <v>21</v>
      </c>
      <c r="H675">
        <v>916</v>
      </c>
      <c r="I675">
        <v>59.01</v>
      </c>
      <c r="J675">
        <v>53.37</v>
      </c>
      <c r="K675">
        <v>54053.16</v>
      </c>
      <c r="L675">
        <v>48886.92</v>
      </c>
      <c r="M675">
        <v>9.5577020843924707E-2</v>
      </c>
      <c r="N675">
        <v>47</v>
      </c>
      <c r="O675" t="s">
        <v>18</v>
      </c>
      <c r="P675">
        <v>5.13100436681223E-2</v>
      </c>
      <c r="Q675">
        <v>5166.24</v>
      </c>
    </row>
    <row r="676" spans="1:17" x14ac:dyDescent="0.3">
      <c r="A676" t="s">
        <v>704</v>
      </c>
      <c r="B676" t="s">
        <v>32</v>
      </c>
      <c r="C676" s="1">
        <v>44733</v>
      </c>
      <c r="D676" s="1">
        <v>44737</v>
      </c>
      <c r="E676" t="s">
        <v>27</v>
      </c>
      <c r="F676">
        <v>4</v>
      </c>
      <c r="G676" t="s">
        <v>17</v>
      </c>
      <c r="H676">
        <v>922</v>
      </c>
      <c r="I676">
        <v>10.84</v>
      </c>
      <c r="J676">
        <v>9.27</v>
      </c>
      <c r="K676">
        <v>9994.48</v>
      </c>
      <c r="L676">
        <v>8546.94</v>
      </c>
      <c r="M676">
        <v>0.14483394833948299</v>
      </c>
      <c r="N676">
        <v>29</v>
      </c>
      <c r="O676" t="s">
        <v>18</v>
      </c>
      <c r="P676">
        <v>3.1453362255965303E-2</v>
      </c>
      <c r="Q676">
        <v>1447.54</v>
      </c>
    </row>
    <row r="677" spans="1:17" x14ac:dyDescent="0.3">
      <c r="A677" t="s">
        <v>705</v>
      </c>
      <c r="B677" t="s">
        <v>23</v>
      </c>
      <c r="C677" s="1">
        <v>45182</v>
      </c>
      <c r="D677" s="1">
        <v>45197</v>
      </c>
      <c r="E677" t="s">
        <v>27</v>
      </c>
      <c r="F677">
        <v>15</v>
      </c>
      <c r="G677" t="s">
        <v>21</v>
      </c>
      <c r="H677">
        <v>1871</v>
      </c>
      <c r="I677">
        <v>39.42</v>
      </c>
      <c r="J677">
        <v>37.409999999999997</v>
      </c>
      <c r="K677">
        <v>73754.820000000007</v>
      </c>
      <c r="L677">
        <v>69994.11</v>
      </c>
      <c r="M677">
        <v>5.0989345509893501E-2</v>
      </c>
      <c r="N677">
        <v>101</v>
      </c>
      <c r="O677" t="s">
        <v>30</v>
      </c>
      <c r="P677">
        <v>5.3981827899518997E-2</v>
      </c>
      <c r="Q677">
        <v>3760.71</v>
      </c>
    </row>
    <row r="678" spans="1:17" x14ac:dyDescent="0.3">
      <c r="A678" t="s">
        <v>706</v>
      </c>
      <c r="B678" t="s">
        <v>32</v>
      </c>
      <c r="C678" s="1">
        <v>45183</v>
      </c>
      <c r="D678" s="1">
        <v>45189</v>
      </c>
      <c r="E678" t="s">
        <v>29</v>
      </c>
      <c r="F678">
        <v>6</v>
      </c>
      <c r="G678" t="s">
        <v>21</v>
      </c>
      <c r="H678">
        <v>1346</v>
      </c>
      <c r="I678">
        <v>72.08</v>
      </c>
      <c r="J678">
        <v>67.040000000000006</v>
      </c>
      <c r="K678">
        <v>97019.68</v>
      </c>
      <c r="L678">
        <v>90235.839999999997</v>
      </c>
      <c r="M678">
        <v>6.9922308546059797E-2</v>
      </c>
      <c r="N678">
        <v>38</v>
      </c>
      <c r="O678" t="s">
        <v>18</v>
      </c>
      <c r="P678">
        <v>2.82317979197623E-2</v>
      </c>
      <c r="Q678">
        <v>6783.84</v>
      </c>
    </row>
    <row r="679" spans="1:17" x14ac:dyDescent="0.3">
      <c r="A679" t="s">
        <v>707</v>
      </c>
      <c r="B679" t="s">
        <v>32</v>
      </c>
      <c r="C679" s="1">
        <v>44679</v>
      </c>
      <c r="D679" s="1">
        <v>44690</v>
      </c>
      <c r="E679" t="s">
        <v>42</v>
      </c>
      <c r="F679">
        <v>11</v>
      </c>
      <c r="G679" t="s">
        <v>21</v>
      </c>
      <c r="H679">
        <v>1954</v>
      </c>
      <c r="I679">
        <v>99.78</v>
      </c>
      <c r="J679">
        <v>87.47</v>
      </c>
      <c r="K679">
        <v>194970.12</v>
      </c>
      <c r="L679">
        <v>170916.38</v>
      </c>
      <c r="M679">
        <v>0.123371417117659</v>
      </c>
      <c r="N679">
        <v>57</v>
      </c>
      <c r="O679" t="s">
        <v>18</v>
      </c>
      <c r="P679">
        <v>2.9170931422722601E-2</v>
      </c>
      <c r="Q679">
        <v>24053.74</v>
      </c>
    </row>
    <row r="680" spans="1:17" x14ac:dyDescent="0.3">
      <c r="A680" t="s">
        <v>708</v>
      </c>
      <c r="B680" t="s">
        <v>26</v>
      </c>
      <c r="C680" s="1">
        <v>44729</v>
      </c>
      <c r="D680" s="1">
        <v>44748</v>
      </c>
      <c r="E680" t="s">
        <v>42</v>
      </c>
      <c r="F680">
        <v>19</v>
      </c>
      <c r="G680" t="s">
        <v>21</v>
      </c>
      <c r="H680">
        <v>111</v>
      </c>
      <c r="I680">
        <v>68.53</v>
      </c>
      <c r="J680">
        <v>65.22</v>
      </c>
      <c r="K680">
        <v>7606.83</v>
      </c>
      <c r="L680">
        <v>7239.42</v>
      </c>
      <c r="M680">
        <v>4.8300014592149401E-2</v>
      </c>
      <c r="N680">
        <v>11</v>
      </c>
      <c r="O680" t="s">
        <v>18</v>
      </c>
      <c r="P680">
        <v>9.90990990990991E-2</v>
      </c>
      <c r="Q680">
        <v>367.41</v>
      </c>
    </row>
    <row r="681" spans="1:17" x14ac:dyDescent="0.3">
      <c r="A681" t="s">
        <v>709</v>
      </c>
      <c r="B681" t="s">
        <v>23</v>
      </c>
      <c r="C681" s="1">
        <v>44880</v>
      </c>
      <c r="D681" s="1">
        <v>44887</v>
      </c>
      <c r="E681" t="s">
        <v>16</v>
      </c>
      <c r="F681">
        <v>7</v>
      </c>
      <c r="G681" t="s">
        <v>38</v>
      </c>
      <c r="H681">
        <v>645</v>
      </c>
      <c r="I681">
        <v>35.049999999999997</v>
      </c>
      <c r="J681">
        <v>30.88</v>
      </c>
      <c r="K681">
        <v>22607.25</v>
      </c>
      <c r="L681">
        <v>19917.599999999999</v>
      </c>
      <c r="M681">
        <v>0.118972895863053</v>
      </c>
      <c r="N681">
        <v>27</v>
      </c>
      <c r="O681" t="s">
        <v>18</v>
      </c>
      <c r="P681">
        <v>4.1860465116279097E-2</v>
      </c>
      <c r="Q681">
        <v>2689.65</v>
      </c>
    </row>
    <row r="682" spans="1:17" x14ac:dyDescent="0.3">
      <c r="A682" t="s">
        <v>710</v>
      </c>
      <c r="B682" t="s">
        <v>23</v>
      </c>
      <c r="C682" s="1">
        <v>44672</v>
      </c>
      <c r="D682" s="1">
        <v>44685</v>
      </c>
      <c r="E682" t="s">
        <v>42</v>
      </c>
      <c r="F682">
        <v>13</v>
      </c>
      <c r="G682" t="s">
        <v>17</v>
      </c>
      <c r="H682">
        <v>1953</v>
      </c>
      <c r="I682">
        <v>68.069999999999993</v>
      </c>
      <c r="J682">
        <v>62.95</v>
      </c>
      <c r="K682">
        <v>132940.71</v>
      </c>
      <c r="L682">
        <v>122941.35</v>
      </c>
      <c r="M682">
        <v>7.5216688702805803E-2</v>
      </c>
      <c r="N682">
        <v>87</v>
      </c>
      <c r="O682" t="s">
        <v>18</v>
      </c>
      <c r="P682">
        <v>4.4546850998463901E-2</v>
      </c>
      <c r="Q682">
        <v>9999.36</v>
      </c>
    </row>
    <row r="683" spans="1:17" x14ac:dyDescent="0.3">
      <c r="A683" t="s">
        <v>711</v>
      </c>
      <c r="B683" t="s">
        <v>23</v>
      </c>
      <c r="C683" s="1">
        <v>45154</v>
      </c>
      <c r="D683" s="1">
        <v>45171</v>
      </c>
      <c r="E683" t="s">
        <v>42</v>
      </c>
      <c r="F683">
        <v>17</v>
      </c>
      <c r="G683" t="s">
        <v>21</v>
      </c>
      <c r="H683">
        <v>778</v>
      </c>
      <c r="I683">
        <v>64.17</v>
      </c>
      <c r="J683">
        <v>61.6</v>
      </c>
      <c r="K683">
        <v>49924.26</v>
      </c>
      <c r="L683">
        <v>47924.800000000003</v>
      </c>
      <c r="M683">
        <v>4.0049867539348603E-2</v>
      </c>
      <c r="N683">
        <v>47</v>
      </c>
      <c r="O683" t="s">
        <v>18</v>
      </c>
      <c r="P683">
        <v>6.0411311053984597E-2</v>
      </c>
      <c r="Q683">
        <v>1999.46</v>
      </c>
    </row>
    <row r="684" spans="1:17" x14ac:dyDescent="0.3">
      <c r="A684" t="s">
        <v>712</v>
      </c>
      <c r="B684" t="s">
        <v>32</v>
      </c>
      <c r="C684" s="1">
        <v>44588</v>
      </c>
      <c r="D684" s="1">
        <v>44601</v>
      </c>
      <c r="E684" t="s">
        <v>16</v>
      </c>
      <c r="F684">
        <v>13</v>
      </c>
      <c r="G684" t="s">
        <v>21</v>
      </c>
      <c r="H684">
        <v>1415</v>
      </c>
      <c r="I684">
        <v>80.19</v>
      </c>
      <c r="J684">
        <v>78.34</v>
      </c>
      <c r="K684">
        <v>113468.85</v>
      </c>
      <c r="L684">
        <v>110851.1</v>
      </c>
      <c r="M684">
        <v>2.3070208255393299E-2</v>
      </c>
      <c r="N684">
        <v>0</v>
      </c>
      <c r="O684" t="s">
        <v>18</v>
      </c>
      <c r="P684">
        <v>0</v>
      </c>
      <c r="Q684">
        <v>2617.75</v>
      </c>
    </row>
    <row r="685" spans="1:17" x14ac:dyDescent="0.3">
      <c r="A685" t="s">
        <v>713</v>
      </c>
      <c r="B685" t="s">
        <v>23</v>
      </c>
      <c r="C685" s="1">
        <v>44881</v>
      </c>
      <c r="D685" s="1">
        <v>44887</v>
      </c>
      <c r="E685" t="s">
        <v>29</v>
      </c>
      <c r="F685">
        <v>6</v>
      </c>
      <c r="G685" t="s">
        <v>21</v>
      </c>
      <c r="H685">
        <v>446</v>
      </c>
      <c r="I685">
        <v>20.61</v>
      </c>
      <c r="J685">
        <v>19.46</v>
      </c>
      <c r="K685">
        <v>9192.06</v>
      </c>
      <c r="L685">
        <v>8679.16</v>
      </c>
      <c r="M685">
        <v>5.5798156234837401E-2</v>
      </c>
      <c r="N685">
        <v>14</v>
      </c>
      <c r="O685" t="s">
        <v>18</v>
      </c>
      <c r="P685">
        <v>3.1390134529148003E-2</v>
      </c>
      <c r="Q685">
        <v>512.9</v>
      </c>
    </row>
    <row r="686" spans="1:17" x14ac:dyDescent="0.3">
      <c r="A686" t="s">
        <v>714</v>
      </c>
      <c r="B686" t="s">
        <v>15</v>
      </c>
      <c r="C686" s="1">
        <v>45255</v>
      </c>
      <c r="D686" s="1">
        <v>45263</v>
      </c>
      <c r="E686" t="s">
        <v>42</v>
      </c>
      <c r="F686">
        <v>8</v>
      </c>
      <c r="G686" t="s">
        <v>38</v>
      </c>
      <c r="H686">
        <v>1092</v>
      </c>
      <c r="I686">
        <v>65.17</v>
      </c>
      <c r="J686">
        <v>63.11</v>
      </c>
      <c r="K686">
        <v>71165.64</v>
      </c>
      <c r="L686">
        <v>68916.12</v>
      </c>
      <c r="M686">
        <v>3.16096363357374E-2</v>
      </c>
      <c r="N686">
        <v>21</v>
      </c>
      <c r="O686" t="s">
        <v>18</v>
      </c>
      <c r="P686">
        <v>1.9230769230769201E-2</v>
      </c>
      <c r="Q686">
        <v>2249.52</v>
      </c>
    </row>
    <row r="687" spans="1:17" x14ac:dyDescent="0.3">
      <c r="A687" t="s">
        <v>715</v>
      </c>
      <c r="B687" t="s">
        <v>26</v>
      </c>
      <c r="C687" s="1">
        <v>44946</v>
      </c>
      <c r="D687" s="1">
        <v>44959</v>
      </c>
      <c r="E687" t="s">
        <v>42</v>
      </c>
      <c r="F687">
        <v>13</v>
      </c>
      <c r="G687" t="s">
        <v>21</v>
      </c>
      <c r="H687">
        <v>226</v>
      </c>
      <c r="I687">
        <v>102.47</v>
      </c>
      <c r="J687">
        <v>99.16</v>
      </c>
      <c r="K687">
        <v>23158.22</v>
      </c>
      <c r="L687">
        <v>22410.16</v>
      </c>
      <c r="M687">
        <v>3.2302137210891001E-2</v>
      </c>
      <c r="N687">
        <v>28</v>
      </c>
      <c r="O687" t="s">
        <v>18</v>
      </c>
      <c r="P687">
        <v>0.123893805309735</v>
      </c>
      <c r="Q687">
        <v>748.06</v>
      </c>
    </row>
    <row r="688" spans="1:17" x14ac:dyDescent="0.3">
      <c r="A688" t="s">
        <v>716</v>
      </c>
      <c r="B688" t="s">
        <v>20</v>
      </c>
      <c r="C688" s="1">
        <v>44968</v>
      </c>
      <c r="D688" s="1">
        <v>44977</v>
      </c>
      <c r="E688" t="s">
        <v>42</v>
      </c>
      <c r="F688">
        <v>9</v>
      </c>
      <c r="G688" t="s">
        <v>21</v>
      </c>
      <c r="H688">
        <v>1685</v>
      </c>
      <c r="I688">
        <v>43.42</v>
      </c>
      <c r="J688">
        <v>42.24</v>
      </c>
      <c r="K688">
        <v>73162.7</v>
      </c>
      <c r="L688">
        <v>71174.399999999994</v>
      </c>
      <c r="M688">
        <v>2.7176416397973101E-2</v>
      </c>
      <c r="N688">
        <v>262</v>
      </c>
      <c r="O688" t="s">
        <v>18</v>
      </c>
      <c r="P688">
        <v>0.155489614243323</v>
      </c>
      <c r="Q688">
        <v>1988.3</v>
      </c>
    </row>
    <row r="689" spans="1:17" x14ac:dyDescent="0.3">
      <c r="A689" t="s">
        <v>717</v>
      </c>
      <c r="B689" t="s">
        <v>23</v>
      </c>
      <c r="C689" s="1">
        <v>44639</v>
      </c>
      <c r="D689" s="1">
        <v>44658</v>
      </c>
      <c r="E689" t="s">
        <v>29</v>
      </c>
      <c r="F689">
        <v>19</v>
      </c>
      <c r="G689" t="s">
        <v>21</v>
      </c>
      <c r="H689">
        <v>494</v>
      </c>
      <c r="I689">
        <v>94.82</v>
      </c>
      <c r="J689">
        <v>81.89</v>
      </c>
      <c r="K689">
        <v>46841.08</v>
      </c>
      <c r="L689">
        <v>40453.660000000003</v>
      </c>
      <c r="M689">
        <v>0.13636363636363599</v>
      </c>
      <c r="N689">
        <v>29</v>
      </c>
      <c r="O689" t="s">
        <v>18</v>
      </c>
      <c r="P689">
        <v>5.8704453441295601E-2</v>
      </c>
      <c r="Q689">
        <v>6387.42</v>
      </c>
    </row>
    <row r="690" spans="1:17" x14ac:dyDescent="0.3">
      <c r="A690" t="s">
        <v>718</v>
      </c>
      <c r="B690" t="s">
        <v>26</v>
      </c>
      <c r="C690" s="1">
        <v>45168</v>
      </c>
      <c r="D690" s="1">
        <v>45180</v>
      </c>
      <c r="E690" t="s">
        <v>24</v>
      </c>
      <c r="F690">
        <v>12</v>
      </c>
      <c r="G690" t="s">
        <v>21</v>
      </c>
      <c r="H690">
        <v>1306</v>
      </c>
      <c r="I690">
        <v>21.05</v>
      </c>
      <c r="J690">
        <v>18.27</v>
      </c>
      <c r="K690">
        <v>27491.3</v>
      </c>
      <c r="L690">
        <v>23860.62</v>
      </c>
      <c r="M690">
        <v>0.132066508313539</v>
      </c>
      <c r="N690">
        <v>128</v>
      </c>
      <c r="O690" t="s">
        <v>18</v>
      </c>
      <c r="P690">
        <v>9.80091883614089E-2</v>
      </c>
      <c r="Q690">
        <v>3630.68</v>
      </c>
    </row>
    <row r="691" spans="1:17" x14ac:dyDescent="0.3">
      <c r="A691" t="s">
        <v>719</v>
      </c>
      <c r="B691" t="s">
        <v>26</v>
      </c>
      <c r="C691" s="1">
        <v>45269</v>
      </c>
      <c r="D691" s="1">
        <v>45271</v>
      </c>
      <c r="E691" t="s">
        <v>16</v>
      </c>
      <c r="F691">
        <v>2</v>
      </c>
      <c r="G691" t="s">
        <v>21</v>
      </c>
      <c r="H691">
        <v>1988</v>
      </c>
      <c r="I691">
        <v>105.2</v>
      </c>
      <c r="J691">
        <v>93.23</v>
      </c>
      <c r="K691">
        <v>209137.6</v>
      </c>
      <c r="L691">
        <v>185341.24</v>
      </c>
      <c r="M691">
        <v>0.113783269961977</v>
      </c>
      <c r="N691">
        <v>187</v>
      </c>
      <c r="O691" t="s">
        <v>18</v>
      </c>
      <c r="P691">
        <v>9.4064386317907395E-2</v>
      </c>
      <c r="Q691">
        <v>23796.36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8326C-0BD5-42B4-9404-477CD2AA8B4C}">
  <dimension ref="B2:AD78"/>
  <sheetViews>
    <sheetView showGridLines="0" topLeftCell="N1" zoomScaleNormal="100" workbookViewId="0">
      <selection activeCell="T27" sqref="T27"/>
    </sheetView>
  </sheetViews>
  <sheetFormatPr defaultRowHeight="14.4" x14ac:dyDescent="0.3"/>
  <cols>
    <col min="2" max="2" width="17.6640625" bestFit="1" customWidth="1"/>
    <col min="3" max="3" width="31.44140625" bestFit="1" customWidth="1"/>
    <col min="4" max="4" width="14.21875" bestFit="1" customWidth="1"/>
    <col min="5" max="6" width="25.44140625" bestFit="1" customWidth="1"/>
    <col min="7" max="7" width="18.109375" bestFit="1" customWidth="1"/>
    <col min="8" max="8" width="24.88671875" bestFit="1" customWidth="1"/>
    <col min="9" max="9" width="16.21875" bestFit="1" customWidth="1"/>
    <col min="10" max="10" width="10.6640625" bestFit="1" customWidth="1"/>
    <col min="11" max="11" width="10.77734375" bestFit="1" customWidth="1"/>
    <col min="12" max="12" width="13.77734375" bestFit="1" customWidth="1"/>
    <col min="13" max="13" width="11.109375" bestFit="1" customWidth="1"/>
    <col min="14" max="14" width="22.44140625" bestFit="1" customWidth="1"/>
    <col min="15" max="15" width="33.44140625" customWidth="1"/>
    <col min="16" max="18" width="11.44140625" bestFit="1" customWidth="1"/>
    <col min="19" max="19" width="13.44140625" bestFit="1" customWidth="1"/>
    <col min="20" max="20" width="11.44140625" bestFit="1" customWidth="1"/>
    <col min="22" max="22" width="13.33203125" bestFit="1" customWidth="1"/>
    <col min="23" max="23" width="18.109375" bestFit="1" customWidth="1"/>
    <col min="27" max="28" width="13.33203125" bestFit="1" customWidth="1"/>
    <col min="29" max="29" width="9.44140625" bestFit="1" customWidth="1"/>
    <col min="30" max="30" width="13.33203125" bestFit="1" customWidth="1"/>
  </cols>
  <sheetData>
    <row r="2" spans="2:10" x14ac:dyDescent="0.3">
      <c r="B2" t="s">
        <v>727</v>
      </c>
      <c r="C2" t="s">
        <v>721</v>
      </c>
      <c r="D2" t="s">
        <v>722</v>
      </c>
      <c r="E2" s="2" t="s">
        <v>724</v>
      </c>
      <c r="F2" s="2" t="s">
        <v>726</v>
      </c>
      <c r="G2" s="2" t="s">
        <v>728</v>
      </c>
      <c r="H2" s="2" t="s">
        <v>729</v>
      </c>
      <c r="I2" s="2" t="s">
        <v>749</v>
      </c>
      <c r="J2" s="2" t="s">
        <v>725</v>
      </c>
    </row>
    <row r="3" spans="2:10" x14ac:dyDescent="0.3">
      <c r="B3">
        <v>690</v>
      </c>
      <c r="C3">
        <v>5</v>
      </c>
      <c r="D3">
        <v>5</v>
      </c>
      <c r="E3" s="2">
        <v>10.776811594202899</v>
      </c>
      <c r="F3" s="4">
        <v>40836577.600000001</v>
      </c>
      <c r="G3" s="4">
        <v>3513248.15</v>
      </c>
      <c r="H3" s="4">
        <v>59183.445797101449</v>
      </c>
      <c r="I3" s="6">
        <v>43264</v>
      </c>
      <c r="J3" s="8">
        <v>5.7919544303310311E-2</v>
      </c>
    </row>
    <row r="18" spans="2:30" x14ac:dyDescent="0.3">
      <c r="B18" s="3" t="s">
        <v>730</v>
      </c>
      <c r="C18" s="2" t="s">
        <v>731</v>
      </c>
      <c r="D18" s="2" t="s">
        <v>732</v>
      </c>
      <c r="F18" s="3" t="s">
        <v>753</v>
      </c>
      <c r="G18" s="3" t="s">
        <v>733</v>
      </c>
      <c r="H18" s="2"/>
      <c r="I18" s="2"/>
      <c r="J18" s="2"/>
      <c r="K18" s="2"/>
      <c r="M18" s="3" t="s">
        <v>746</v>
      </c>
      <c r="N18" s="2" t="s">
        <v>747</v>
      </c>
      <c r="O18" s="2" t="s">
        <v>6</v>
      </c>
      <c r="R18" s="3" t="s">
        <v>748</v>
      </c>
      <c r="S18" s="2" t="s">
        <v>747</v>
      </c>
      <c r="T18" s="2" t="s">
        <v>6</v>
      </c>
      <c r="Z18" s="2"/>
      <c r="AA18" s="3" t="s">
        <v>733</v>
      </c>
      <c r="AB18" s="2"/>
      <c r="AC18" s="2"/>
      <c r="AD18" s="2"/>
    </row>
    <row r="19" spans="2:30" x14ac:dyDescent="0.3">
      <c r="B19" s="5" t="s">
        <v>17</v>
      </c>
      <c r="C19" s="2">
        <v>55</v>
      </c>
      <c r="D19" s="7">
        <v>7.9710144927536225E-2</v>
      </c>
      <c r="F19" s="3" t="s">
        <v>746</v>
      </c>
      <c r="G19" s="2" t="s">
        <v>17</v>
      </c>
      <c r="H19" s="2" t="s">
        <v>21</v>
      </c>
      <c r="I19" s="2" t="s">
        <v>36</v>
      </c>
      <c r="J19" s="2" t="s">
        <v>38</v>
      </c>
      <c r="K19" s="2" t="s">
        <v>720</v>
      </c>
      <c r="M19" s="5" t="s">
        <v>734</v>
      </c>
      <c r="N19" s="4">
        <v>3654507.42</v>
      </c>
      <c r="O19" s="6">
        <v>62671</v>
      </c>
      <c r="R19" s="5" t="s">
        <v>24</v>
      </c>
      <c r="S19" s="4">
        <v>9275000.6799999997</v>
      </c>
      <c r="T19" s="6">
        <v>167798</v>
      </c>
      <c r="Z19" s="2"/>
      <c r="AA19" s="2">
        <v>2022</v>
      </c>
      <c r="AB19" s="2">
        <v>2023</v>
      </c>
      <c r="AC19" s="2">
        <v>2024</v>
      </c>
      <c r="AD19" s="2" t="s">
        <v>720</v>
      </c>
    </row>
    <row r="20" spans="2:30" x14ac:dyDescent="0.3">
      <c r="B20" s="5" t="s">
        <v>21</v>
      </c>
      <c r="C20" s="2">
        <v>492</v>
      </c>
      <c r="D20" s="7">
        <v>0.71304347826086956</v>
      </c>
      <c r="F20" s="5" t="s">
        <v>734</v>
      </c>
      <c r="G20" s="2">
        <v>4</v>
      </c>
      <c r="H20" s="2">
        <v>43</v>
      </c>
      <c r="I20" s="2">
        <v>1</v>
      </c>
      <c r="J20" s="2">
        <v>8</v>
      </c>
      <c r="K20" s="2">
        <v>56</v>
      </c>
      <c r="M20" s="5" t="s">
        <v>735</v>
      </c>
      <c r="N20" s="4">
        <v>2877128.75</v>
      </c>
      <c r="O20" s="6">
        <v>56769</v>
      </c>
      <c r="R20" s="5" t="s">
        <v>16</v>
      </c>
      <c r="S20" s="4">
        <v>8885861.0500000007</v>
      </c>
      <c r="T20" s="6">
        <v>159858</v>
      </c>
      <c r="Z20" s="2" t="s">
        <v>747</v>
      </c>
      <c r="AA20" s="7">
        <v>0.46124895196898186</v>
      </c>
      <c r="AB20" s="7">
        <v>0.53691700893171812</v>
      </c>
      <c r="AC20" s="7">
        <v>1.8340390993000354E-3</v>
      </c>
      <c r="AD20" s="7">
        <v>1</v>
      </c>
    </row>
    <row r="21" spans="2:30" x14ac:dyDescent="0.3">
      <c r="B21" s="5" t="s">
        <v>36</v>
      </c>
      <c r="C21" s="2">
        <v>68</v>
      </c>
      <c r="D21" s="7">
        <v>9.8550724637681164E-2</v>
      </c>
      <c r="F21" s="5" t="s">
        <v>735</v>
      </c>
      <c r="G21" s="2">
        <v>5</v>
      </c>
      <c r="H21" s="2">
        <v>34</v>
      </c>
      <c r="I21" s="2">
        <v>4</v>
      </c>
      <c r="J21" s="2">
        <v>7</v>
      </c>
      <c r="K21" s="2">
        <v>50</v>
      </c>
      <c r="M21" s="5" t="s">
        <v>736</v>
      </c>
      <c r="N21" s="4">
        <v>4896093.99</v>
      </c>
      <c r="O21" s="6">
        <v>89917</v>
      </c>
      <c r="R21" s="5" t="s">
        <v>42</v>
      </c>
      <c r="S21" s="4">
        <v>8068767.4299999997</v>
      </c>
      <c r="T21" s="6">
        <v>153387</v>
      </c>
    </row>
    <row r="22" spans="2:30" x14ac:dyDescent="0.3">
      <c r="B22" s="5" t="s">
        <v>38</v>
      </c>
      <c r="C22" s="2">
        <v>75</v>
      </c>
      <c r="D22" s="7">
        <v>0.10869565217391304</v>
      </c>
      <c r="F22" s="5" t="s">
        <v>736</v>
      </c>
      <c r="G22" s="2">
        <v>7</v>
      </c>
      <c r="H22" s="2">
        <v>50</v>
      </c>
      <c r="I22" s="2">
        <v>9</v>
      </c>
      <c r="J22" s="2">
        <v>8</v>
      </c>
      <c r="K22" s="2">
        <v>74</v>
      </c>
      <c r="M22" s="5" t="s">
        <v>737</v>
      </c>
      <c r="N22" s="4">
        <v>3249594.22</v>
      </c>
      <c r="O22" s="6">
        <v>66833</v>
      </c>
      <c r="R22" s="5" t="s">
        <v>27</v>
      </c>
      <c r="S22" s="4">
        <v>7352527.0499999998</v>
      </c>
      <c r="T22" s="6">
        <v>149159</v>
      </c>
    </row>
    <row r="23" spans="2:30" x14ac:dyDescent="0.3">
      <c r="B23" s="5" t="s">
        <v>720</v>
      </c>
      <c r="C23" s="2">
        <v>690</v>
      </c>
      <c r="D23" s="7">
        <v>1</v>
      </c>
      <c r="F23" s="5" t="s">
        <v>737</v>
      </c>
      <c r="G23" s="2">
        <v>3</v>
      </c>
      <c r="H23" s="2">
        <v>45</v>
      </c>
      <c r="I23" s="2">
        <v>7</v>
      </c>
      <c r="J23" s="2">
        <v>2</v>
      </c>
      <c r="K23" s="2">
        <v>57</v>
      </c>
      <c r="M23" s="5" t="s">
        <v>738</v>
      </c>
      <c r="N23" s="4">
        <v>2457285.11</v>
      </c>
      <c r="O23" s="6">
        <v>43678</v>
      </c>
      <c r="R23" s="5" t="s">
        <v>29</v>
      </c>
      <c r="S23" s="4">
        <v>7254421.3899999997</v>
      </c>
      <c r="T23" s="6">
        <v>128483</v>
      </c>
    </row>
    <row r="24" spans="2:30" x14ac:dyDescent="0.3">
      <c r="F24" s="5" t="s">
        <v>738</v>
      </c>
      <c r="G24" s="2">
        <v>5</v>
      </c>
      <c r="H24" s="2">
        <v>23</v>
      </c>
      <c r="I24" s="2">
        <v>8</v>
      </c>
      <c r="J24" s="2">
        <v>4</v>
      </c>
      <c r="K24" s="2">
        <v>40</v>
      </c>
      <c r="M24" s="5" t="s">
        <v>739</v>
      </c>
      <c r="N24" s="4">
        <v>2818736.83</v>
      </c>
      <c r="O24" s="6">
        <v>54549</v>
      </c>
      <c r="R24" s="5" t="s">
        <v>720</v>
      </c>
      <c r="S24" s="4">
        <v>40836577.600000001</v>
      </c>
      <c r="T24" s="6">
        <v>758685</v>
      </c>
    </row>
    <row r="25" spans="2:30" x14ac:dyDescent="0.3">
      <c r="F25" s="5" t="s">
        <v>739</v>
      </c>
      <c r="G25" s="2">
        <v>1</v>
      </c>
      <c r="H25" s="2">
        <v>37</v>
      </c>
      <c r="I25" s="2">
        <v>7</v>
      </c>
      <c r="J25" s="2">
        <v>9</v>
      </c>
      <c r="K25" s="2">
        <v>54</v>
      </c>
      <c r="M25" s="5" t="s">
        <v>740</v>
      </c>
      <c r="N25" s="4">
        <v>3489728.47</v>
      </c>
      <c r="O25" s="6">
        <v>70745</v>
      </c>
    </row>
    <row r="26" spans="2:30" x14ac:dyDescent="0.3">
      <c r="F26" s="5" t="s">
        <v>740</v>
      </c>
      <c r="G26" s="2">
        <v>7</v>
      </c>
      <c r="H26" s="2">
        <v>47</v>
      </c>
      <c r="I26" s="2">
        <v>6</v>
      </c>
      <c r="J26" s="2">
        <v>4</v>
      </c>
      <c r="K26" s="2">
        <v>64</v>
      </c>
      <c r="M26" s="5" t="s">
        <v>741</v>
      </c>
      <c r="N26" s="4">
        <v>3841312.05</v>
      </c>
      <c r="O26" s="6">
        <v>67415</v>
      </c>
    </row>
    <row r="27" spans="2:30" x14ac:dyDescent="0.3">
      <c r="F27" s="5" t="s">
        <v>741</v>
      </c>
      <c r="G27" s="2">
        <v>7</v>
      </c>
      <c r="H27" s="2">
        <v>44</v>
      </c>
      <c r="I27" s="2">
        <v>4</v>
      </c>
      <c r="J27" s="2">
        <v>8</v>
      </c>
      <c r="K27" s="2">
        <v>63</v>
      </c>
      <c r="M27" s="5" t="s">
        <v>742</v>
      </c>
      <c r="N27" s="4">
        <v>4078417.75</v>
      </c>
      <c r="O27" s="6">
        <v>71492</v>
      </c>
    </row>
    <row r="28" spans="2:30" x14ac:dyDescent="0.3">
      <c r="F28" s="5" t="s">
        <v>742</v>
      </c>
      <c r="G28" s="2">
        <v>5</v>
      </c>
      <c r="H28" s="2">
        <v>49</v>
      </c>
      <c r="I28" s="2">
        <v>8</v>
      </c>
      <c r="J28" s="2">
        <v>5</v>
      </c>
      <c r="K28" s="2">
        <v>67</v>
      </c>
      <c r="M28" s="5" t="s">
        <v>743</v>
      </c>
      <c r="N28" s="4">
        <v>3092392.11</v>
      </c>
      <c r="O28" s="6">
        <v>53001</v>
      </c>
    </row>
    <row r="29" spans="2:30" x14ac:dyDescent="0.3">
      <c r="F29" s="5" t="s">
        <v>743</v>
      </c>
      <c r="G29" s="2">
        <v>6</v>
      </c>
      <c r="H29" s="2">
        <v>39</v>
      </c>
      <c r="I29" s="2">
        <v>6</v>
      </c>
      <c r="J29" s="2">
        <v>3</v>
      </c>
      <c r="K29" s="2">
        <v>54</v>
      </c>
      <c r="M29" s="5" t="s">
        <v>744</v>
      </c>
      <c r="N29" s="4">
        <v>3471620.83</v>
      </c>
      <c r="O29" s="6">
        <v>66838</v>
      </c>
    </row>
    <row r="30" spans="2:30" x14ac:dyDescent="0.3">
      <c r="F30" s="5" t="s">
        <v>744</v>
      </c>
      <c r="G30" s="2">
        <v>3</v>
      </c>
      <c r="H30" s="2">
        <v>44</v>
      </c>
      <c r="I30" s="2">
        <v>4</v>
      </c>
      <c r="J30" s="2">
        <v>12</v>
      </c>
      <c r="K30" s="2">
        <v>63</v>
      </c>
      <c r="M30" s="5" t="s">
        <v>745</v>
      </c>
      <c r="N30" s="4">
        <v>2909760.07</v>
      </c>
      <c r="O30" s="6">
        <v>54777</v>
      </c>
    </row>
    <row r="31" spans="2:30" x14ac:dyDescent="0.3">
      <c r="F31" s="5" t="s">
        <v>745</v>
      </c>
      <c r="G31" s="2">
        <v>2</v>
      </c>
      <c r="H31" s="2">
        <v>37</v>
      </c>
      <c r="I31" s="2">
        <v>4</v>
      </c>
      <c r="J31" s="2">
        <v>5</v>
      </c>
      <c r="K31" s="2">
        <v>48</v>
      </c>
      <c r="M31" s="5" t="s">
        <v>720</v>
      </c>
      <c r="N31" s="4">
        <v>40836577.600000001</v>
      </c>
      <c r="O31" s="6">
        <v>758685</v>
      </c>
    </row>
    <row r="32" spans="2:30" x14ac:dyDescent="0.3">
      <c r="F32" s="5" t="s">
        <v>720</v>
      </c>
      <c r="G32" s="2">
        <v>55</v>
      </c>
      <c r="H32" s="2">
        <v>492</v>
      </c>
      <c r="I32" s="2">
        <v>68</v>
      </c>
      <c r="J32" s="2">
        <v>75</v>
      </c>
      <c r="K32" s="2">
        <v>690</v>
      </c>
    </row>
    <row r="64" spans="2:23" x14ac:dyDescent="0.3">
      <c r="B64" s="3" t="s">
        <v>1</v>
      </c>
      <c r="C64" s="2" t="s">
        <v>750</v>
      </c>
      <c r="E64" s="3" t="s">
        <v>1</v>
      </c>
      <c r="F64" s="2" t="s">
        <v>751</v>
      </c>
      <c r="I64" s="12" t="s">
        <v>1</v>
      </c>
      <c r="J64" s="12" t="s">
        <v>747</v>
      </c>
      <c r="K64" s="12" t="s">
        <v>6</v>
      </c>
      <c r="L64" s="12" t="s">
        <v>749</v>
      </c>
      <c r="N64" s="3" t="s">
        <v>752</v>
      </c>
      <c r="O64" s="3" t="s">
        <v>733</v>
      </c>
      <c r="P64" s="2"/>
      <c r="Q64" s="2"/>
      <c r="R64" s="2"/>
      <c r="S64" s="2"/>
      <c r="T64" s="2"/>
      <c r="V64" s="3" t="s">
        <v>1</v>
      </c>
      <c r="W64" s="2" t="s">
        <v>754</v>
      </c>
    </row>
    <row r="65" spans="2:23" x14ac:dyDescent="0.3">
      <c r="B65" s="5" t="s">
        <v>23</v>
      </c>
      <c r="C65" s="10">
        <v>10.192307692307692</v>
      </c>
      <c r="E65" s="5" t="s">
        <v>15</v>
      </c>
      <c r="F65" s="7">
        <v>8.14284307110682E-2</v>
      </c>
      <c r="I65" s="15" t="s">
        <v>15</v>
      </c>
      <c r="J65" s="13">
        <v>6563948.5899999999</v>
      </c>
      <c r="K65" s="14">
        <v>126210</v>
      </c>
      <c r="L65" s="14">
        <v>2231</v>
      </c>
      <c r="N65" s="3" t="s">
        <v>1</v>
      </c>
      <c r="O65" s="2" t="s">
        <v>42</v>
      </c>
      <c r="P65" s="2" t="s">
        <v>24</v>
      </c>
      <c r="Q65" s="2" t="s">
        <v>16</v>
      </c>
      <c r="R65" s="2" t="s">
        <v>27</v>
      </c>
      <c r="S65" s="2" t="s">
        <v>29</v>
      </c>
      <c r="T65" s="2" t="s">
        <v>720</v>
      </c>
      <c r="V65" s="5" t="s">
        <v>20</v>
      </c>
      <c r="W65" s="7">
        <v>0.19849540090129983</v>
      </c>
    </row>
    <row r="66" spans="2:23" x14ac:dyDescent="0.3">
      <c r="B66" s="5" t="s">
        <v>15</v>
      </c>
      <c r="C66" s="10">
        <v>10.606837606837606</v>
      </c>
      <c r="E66" s="5" t="s">
        <v>26</v>
      </c>
      <c r="F66" s="7">
        <v>7.9612013596784159E-2</v>
      </c>
      <c r="I66" s="15" t="s">
        <v>23</v>
      </c>
      <c r="J66" s="13">
        <v>8038724.2000000002</v>
      </c>
      <c r="K66" s="14">
        <v>146844</v>
      </c>
      <c r="L66" s="14">
        <v>6489</v>
      </c>
      <c r="N66" s="5" t="s">
        <v>20</v>
      </c>
      <c r="O66" s="7">
        <v>0.2225866945591157</v>
      </c>
      <c r="P66" s="7">
        <v>0.17379141316927951</v>
      </c>
      <c r="Q66" s="7">
        <v>0.20384593960624608</v>
      </c>
      <c r="R66" s="7">
        <v>0.19167806502324028</v>
      </c>
      <c r="S66" s="7">
        <v>0.20809788764211842</v>
      </c>
      <c r="T66" s="7">
        <v>1</v>
      </c>
      <c r="V66" s="5" t="s">
        <v>15</v>
      </c>
      <c r="W66" s="7">
        <v>0.15858695036956044</v>
      </c>
    </row>
    <row r="67" spans="2:23" x14ac:dyDescent="0.3">
      <c r="B67" s="5" t="s">
        <v>20</v>
      </c>
      <c r="C67" s="10">
        <v>10.85430463576159</v>
      </c>
      <c r="E67" s="5" t="s">
        <v>32</v>
      </c>
      <c r="F67" s="7">
        <v>7.930440592935456E-2</v>
      </c>
      <c r="I67" s="15" t="s">
        <v>20</v>
      </c>
      <c r="J67" s="13">
        <v>8298827.54</v>
      </c>
      <c r="K67" s="14">
        <v>161573</v>
      </c>
      <c r="L67" s="14">
        <v>17488</v>
      </c>
      <c r="N67" s="5" t="s">
        <v>15</v>
      </c>
      <c r="O67" s="7">
        <v>0.19563426035971793</v>
      </c>
      <c r="P67" s="7">
        <v>0.26875049520640204</v>
      </c>
      <c r="Q67" s="7">
        <v>0.24760320101418271</v>
      </c>
      <c r="R67" s="7">
        <v>0.20816100150542746</v>
      </c>
      <c r="S67" s="7">
        <v>7.9851041914269866E-2</v>
      </c>
      <c r="T67" s="7">
        <v>1</v>
      </c>
      <c r="V67" s="5" t="s">
        <v>26</v>
      </c>
      <c r="W67" s="7">
        <v>0.23697245240134832</v>
      </c>
    </row>
    <row r="68" spans="2:23" x14ac:dyDescent="0.3">
      <c r="B68" s="5" t="s">
        <v>32</v>
      </c>
      <c r="C68" s="10">
        <v>10.865771812080537</v>
      </c>
      <c r="E68" s="5" t="s">
        <v>23</v>
      </c>
      <c r="F68" s="7">
        <v>7.8952471899457838E-2</v>
      </c>
      <c r="I68" s="15" t="s">
        <v>26</v>
      </c>
      <c r="J68" s="13">
        <v>8945912.5700000003</v>
      </c>
      <c r="K68" s="14">
        <v>161684</v>
      </c>
      <c r="L68" s="14">
        <v>12845</v>
      </c>
      <c r="N68" s="5" t="s">
        <v>26</v>
      </c>
      <c r="O68" s="7">
        <v>0.20468320922292868</v>
      </c>
      <c r="P68" s="7">
        <v>0.17074045669330298</v>
      </c>
      <c r="Q68" s="7">
        <v>0.25246777665075087</v>
      </c>
      <c r="R68" s="7">
        <v>0.17682640211771108</v>
      </c>
      <c r="S68" s="7">
        <v>0.1952821553153064</v>
      </c>
      <c r="T68" s="7">
        <v>1</v>
      </c>
      <c r="V68" s="5" t="s">
        <v>32</v>
      </c>
      <c r="W68" s="7">
        <v>0.21533189734975028</v>
      </c>
    </row>
    <row r="69" spans="2:23" x14ac:dyDescent="0.3">
      <c r="B69" s="5" t="s">
        <v>26</v>
      </c>
      <c r="C69" s="10">
        <v>11.272727272727273</v>
      </c>
      <c r="E69" s="5" t="s">
        <v>20</v>
      </c>
      <c r="F69" s="7">
        <v>7.8132314678336187E-2</v>
      </c>
      <c r="I69" s="15" t="s">
        <v>32</v>
      </c>
      <c r="J69" s="13">
        <v>8989164.6999999993</v>
      </c>
      <c r="K69" s="14">
        <v>162374</v>
      </c>
      <c r="L69" s="14">
        <v>4211</v>
      </c>
      <c r="N69" s="5" t="s">
        <v>32</v>
      </c>
      <c r="O69" s="7">
        <v>0.20619680490718958</v>
      </c>
      <c r="P69" s="7">
        <v>0.24061118159311221</v>
      </c>
      <c r="Q69" s="7">
        <v>0.20807518445071255</v>
      </c>
      <c r="R69" s="7">
        <v>0.19517287250421866</v>
      </c>
      <c r="S69" s="7">
        <v>0.14994395654476703</v>
      </c>
      <c r="T69" s="7">
        <v>1</v>
      </c>
      <c r="V69" s="5" t="s">
        <v>23</v>
      </c>
      <c r="W69" s="7">
        <v>0.19061329897804116</v>
      </c>
    </row>
    <row r="70" spans="2:23" x14ac:dyDescent="0.3">
      <c r="B70" s="5" t="s">
        <v>720</v>
      </c>
      <c r="C70" s="10">
        <v>10.776811594202899</v>
      </c>
      <c r="E70" s="5" t="s">
        <v>720</v>
      </c>
      <c r="F70" s="7">
        <v>7.9405509687488676E-2</v>
      </c>
      <c r="N70" s="5" t="s">
        <v>23</v>
      </c>
      <c r="O70" s="7">
        <v>0.17812780910353845</v>
      </c>
      <c r="P70" s="7">
        <v>0.26643240445642996</v>
      </c>
      <c r="Q70" s="7">
        <v>0.14345836397809922</v>
      </c>
      <c r="R70" s="7">
        <v>0.21543951404211273</v>
      </c>
      <c r="S70" s="7">
        <v>0.19654190841981967</v>
      </c>
      <c r="T70" s="7">
        <v>1</v>
      </c>
      <c r="V70" s="5" t="s">
        <v>720</v>
      </c>
      <c r="W70" s="7">
        <v>1</v>
      </c>
    </row>
    <row r="71" spans="2:23" x14ac:dyDescent="0.3">
      <c r="N71" s="5" t="s">
        <v>720</v>
      </c>
      <c r="O71" s="7">
        <v>0.2021748156349473</v>
      </c>
      <c r="P71" s="7">
        <v>0.22116952358356895</v>
      </c>
      <c r="Q71" s="7">
        <v>0.21070404713418611</v>
      </c>
      <c r="R71" s="7">
        <v>0.19660201532915506</v>
      </c>
      <c r="S71" s="7">
        <v>0.16934959831814259</v>
      </c>
      <c r="T71" s="7">
        <v>1</v>
      </c>
    </row>
    <row r="72" spans="2:23" x14ac:dyDescent="0.3">
      <c r="V72" s="2" t="str">
        <f t="shared" ref="V72:W77" si="0">V64</f>
        <v>Supplier</v>
      </c>
      <c r="W72" s="2" t="str">
        <f t="shared" si="0"/>
        <v>Sum of Cost Savings</v>
      </c>
    </row>
    <row r="73" spans="2:23" x14ac:dyDescent="0.3">
      <c r="V73" s="2" t="str">
        <f t="shared" si="0"/>
        <v>Delta_Logistics</v>
      </c>
      <c r="W73" s="11">
        <f t="shared" si="0"/>
        <v>0.19849540090129983</v>
      </c>
    </row>
    <row r="74" spans="2:23" x14ac:dyDescent="0.3">
      <c r="V74" s="2" t="str">
        <f t="shared" si="0"/>
        <v>Alpha_Inc</v>
      </c>
      <c r="W74" s="11">
        <f t="shared" si="0"/>
        <v>0.15858695036956044</v>
      </c>
    </row>
    <row r="75" spans="2:23" x14ac:dyDescent="0.3">
      <c r="V75" s="2" t="str">
        <f t="shared" si="0"/>
        <v>Beta_Supplies</v>
      </c>
      <c r="W75" s="11">
        <f t="shared" si="0"/>
        <v>0.23697245240134832</v>
      </c>
    </row>
    <row r="76" spans="2:23" x14ac:dyDescent="0.3">
      <c r="V76" s="2" t="str">
        <f t="shared" si="0"/>
        <v>Epsilon_Group</v>
      </c>
      <c r="W76" s="11">
        <f t="shared" si="0"/>
        <v>0.21533189734975028</v>
      </c>
    </row>
    <row r="77" spans="2:23" x14ac:dyDescent="0.3">
      <c r="V77" s="2" t="str">
        <f t="shared" si="0"/>
        <v>Gamma_Co</v>
      </c>
      <c r="W77" s="11">
        <f t="shared" si="0"/>
        <v>0.19061329897804116</v>
      </c>
    </row>
    <row r="78" spans="2:23" x14ac:dyDescent="0.3">
      <c r="V78" s="2"/>
      <c r="W78" s="11"/>
    </row>
  </sheetData>
  <conditionalFormatting pivot="1" sqref="J65:J69">
    <cfRule type="dataBar" priority="3">
      <dataBar>
        <cfvo type="min"/>
        <cfvo type="max"/>
        <color theme="5"/>
      </dataBar>
      <extLst>
        <ext xmlns:x14="http://schemas.microsoft.com/office/spreadsheetml/2009/9/main" uri="{B025F937-C7B1-47D3-B67F-A62EFF666E3E}">
          <x14:id>{4B2136EE-DA31-4C94-B59E-0D8403105AE4}</x14:id>
        </ext>
      </extLst>
    </cfRule>
  </conditionalFormatting>
  <conditionalFormatting pivot="1" sqref="K65:K69">
    <cfRule type="dataBar" priority="2">
      <dataBar>
        <cfvo type="min"/>
        <cfvo type="max"/>
        <color theme="9"/>
      </dataBar>
      <extLst>
        <ext xmlns:x14="http://schemas.microsoft.com/office/spreadsheetml/2009/9/main" uri="{B025F937-C7B1-47D3-B67F-A62EFF666E3E}">
          <x14:id>{E2E0B794-E8D8-4596-A324-A0398EC3C88B}</x14:id>
        </ext>
      </extLst>
    </cfRule>
  </conditionalFormatting>
  <pageMargins left="0.7" right="0.7" top="0.75" bottom="0.75" header="0.3" footer="0.3"/>
  <drawing r:id="rId20"/>
  <extLst>
    <ext xmlns:x14="http://schemas.microsoft.com/office/spreadsheetml/2009/9/main" uri="{78C0D931-6437-407d-A8EE-F0AAD7539E65}">
      <x14:conditionalFormattings>
        <x14:conditionalFormatting xmlns:xm="http://schemas.microsoft.com/office/excel/2006/main" pivot="1">
          <x14:cfRule type="dataBar" id="{4B2136EE-DA31-4C94-B59E-0D8403105AE4}">
            <x14:dataBar minLength="0" maxLength="100" gradient="0">
              <x14:cfvo type="autoMin"/>
              <x14:cfvo type="autoMax"/>
              <x14:negativeFillColor rgb="FFFF0000"/>
              <x14:axisColor rgb="FF000000"/>
            </x14:dataBar>
          </x14:cfRule>
          <xm:sqref>J65:J69</xm:sqref>
        </x14:conditionalFormatting>
        <x14:conditionalFormatting xmlns:xm="http://schemas.microsoft.com/office/excel/2006/main" pivot="1">
          <x14:cfRule type="dataBar" id="{E2E0B794-E8D8-4596-A324-A0398EC3C88B}">
            <x14:dataBar minLength="0" maxLength="100" gradient="0">
              <x14:cfvo type="autoMin"/>
              <x14:cfvo type="autoMax"/>
              <x14:negativeFillColor rgb="FFFF0000"/>
              <x14:axisColor rgb="FF000000"/>
            </x14:dataBar>
          </x14:cfRule>
          <xm:sqref>K65:K69</xm:sqref>
        </x14:conditionalFormatting>
        <x14:conditionalFormatting xmlns:xm="http://schemas.microsoft.com/office/excel/2006/main" pivot="1">
          <x14:cfRule type="iconSet" priority="1" id="{0AACCD1E-ABEC-421F-AD30-EFB947C040DE}">
            <x14:iconSet iconSet="3Symbols2" custom="1">
              <x14:cfvo type="percent">
                <xm:f>0</xm:f>
              </x14:cfvo>
              <x14:cfvo type="percent">
                <xm:f>33</xm:f>
              </x14:cfvo>
              <x14:cfvo type="percent">
                <xm:f>67</xm:f>
              </x14:cfvo>
              <x14:cfIcon iconSet="3Symbols" iconId="2"/>
              <x14:cfIcon iconSet="3Symbols" iconId="1"/>
              <x14:cfIcon iconSet="3Symbols" iconId="0"/>
            </x14:iconSet>
          </x14:cfRule>
          <xm:sqref>L65:L69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419B-BBB4-4D88-9B85-6BB925A59739}">
  <dimension ref="A1"/>
  <sheetViews>
    <sheetView showGridLines="0" zoomScale="85" zoomScaleNormal="85" workbookViewId="0">
      <selection activeCell="W46" sqref="W46"/>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6D5F-C33E-4EF7-AFCC-0900269BB096}">
  <dimension ref="A1"/>
  <sheetViews>
    <sheetView showGridLines="0" tabSelected="1" zoomScale="85" zoomScaleNormal="85" workbookViewId="0">
      <selection activeCell="Y42" sqref="Y41:Y42"/>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5867-C68D-4CB2-8EFA-2A6F83E83284}">
  <dimension ref="A1"/>
  <sheetViews>
    <sheetView showGridLines="0" zoomScale="85" zoomScaleNormal="85" workbookViewId="0">
      <selection activeCell="O43" sqref="O43"/>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CE26A86-B93B-4475-A4E5-F3A8654CF674}">
  <ds:schemaRefs/>
</ds:datastoreItem>
</file>

<file path=customXml/itemProps2.xml><?xml version="1.0" encoding="utf-8"?>
<ds:datastoreItem xmlns:ds="http://schemas.openxmlformats.org/officeDocument/2006/customXml" ds:itemID="{8586B154-9F67-44A3-9699-5B2AB657A187}">
  <ds:schemaRefs/>
</ds:datastoreItem>
</file>

<file path=customXml/itemProps3.xml><?xml version="1.0" encoding="utf-8"?>
<ds:datastoreItem xmlns:ds="http://schemas.openxmlformats.org/officeDocument/2006/customXml" ds:itemID="{D66666DE-4FCF-47F2-97DE-6CE802C0DA91}">
  <ds:schemaRefs/>
</ds:datastoreItem>
</file>

<file path=customXml/itemProps4.xml><?xml version="1.0" encoding="utf-8"?>
<ds:datastoreItem xmlns:ds="http://schemas.openxmlformats.org/officeDocument/2006/customXml" ds:itemID="{8763E770-DF40-4A5B-8B40-66564231AD99}">
  <ds:schemaRefs>
    <ds:schemaRef ds:uri="http://schemas.microsoft.com/DataMashup"/>
  </ds:schemaRefs>
</ds:datastoreItem>
</file>

<file path=customXml/itemProps5.xml><?xml version="1.0" encoding="utf-8"?>
<ds:datastoreItem xmlns:ds="http://schemas.openxmlformats.org/officeDocument/2006/customXml" ds:itemID="{0136D273-13BA-4C6F-9A8E-41D40E5B258E}">
  <ds:schemaRefs/>
</ds:datastoreItem>
</file>

<file path=customXml/itemProps6.xml><?xml version="1.0" encoding="utf-8"?>
<ds:datastoreItem xmlns:ds="http://schemas.openxmlformats.org/officeDocument/2006/customXml" ds:itemID="{0CC6D920-844A-4D51-BBA1-0BA5AF33CA72}">
  <ds:schemaRefs/>
</ds:datastoreItem>
</file>

<file path=customXml/itemProps7.xml><?xml version="1.0" encoding="utf-8"?>
<ds:datastoreItem xmlns:ds="http://schemas.openxmlformats.org/officeDocument/2006/customXml" ds:itemID="{C795F01F-62B7-4810-B0C3-4E591943372C}">
  <ds:schemaRefs/>
</ds:datastoreItem>
</file>

<file path=customXml/itemProps8.xml><?xml version="1.0" encoding="utf-8"?>
<ds:datastoreItem xmlns:ds="http://schemas.openxmlformats.org/officeDocument/2006/customXml" ds:itemID="{80865B6B-3E2E-4B3A-A898-4FC1ADDFC196}">
  <ds:schemaRefs/>
</ds:datastoreItem>
</file>

<file path=customXml/itemProps9.xml><?xml version="1.0" encoding="utf-8"?>
<ds:datastoreItem xmlns:ds="http://schemas.openxmlformats.org/officeDocument/2006/customXml" ds:itemID="{0BD99780-BAA4-40C1-AE08-3311BC5BC14E}">
  <ds:schemaRefs/>
</ds:datastoreItem>
</file>

<file path=customXml/itemProps10.xml><?xml version="1.0" encoding="utf-8"?>
<ds:datastoreItem xmlns:ds="http://schemas.openxmlformats.org/officeDocument/2006/customXml" ds:itemID="{DCDE6FEC-8652-4B4D-8986-0846B7A9D23D}">
  <ds:schemaRefs/>
</ds:datastoreItem>
</file>

<file path=customXml/itemProps11.xml><?xml version="1.0" encoding="utf-8"?>
<ds:datastoreItem xmlns:ds="http://schemas.openxmlformats.org/officeDocument/2006/customXml" ds:itemID="{98859C57-E2EA-403E-8E79-7E4E94FFCDA9}">
  <ds:schemaRefs/>
</ds:datastoreItem>
</file>

<file path=customXml/itemProps12.xml><?xml version="1.0" encoding="utf-8"?>
<ds:datastoreItem xmlns:ds="http://schemas.openxmlformats.org/officeDocument/2006/customXml" ds:itemID="{D7BF64AB-CAAA-4110-802D-99BDA2349BE4}">
  <ds:schemaRefs/>
</ds:datastoreItem>
</file>

<file path=customXml/itemProps13.xml><?xml version="1.0" encoding="utf-8"?>
<ds:datastoreItem xmlns:ds="http://schemas.openxmlformats.org/officeDocument/2006/customXml" ds:itemID="{A979C88F-B50C-4B3E-A8BE-6BC6AB54E51C}">
  <ds:schemaRefs/>
</ds:datastoreItem>
</file>

<file path=customXml/itemProps14.xml><?xml version="1.0" encoding="utf-8"?>
<ds:datastoreItem xmlns:ds="http://schemas.openxmlformats.org/officeDocument/2006/customXml" ds:itemID="{82588702-0274-41E6-9FFF-1EFA9FB9FFF3}">
  <ds:schemaRefs/>
</ds:datastoreItem>
</file>

<file path=customXml/itemProps15.xml><?xml version="1.0" encoding="utf-8"?>
<ds:datastoreItem xmlns:ds="http://schemas.openxmlformats.org/officeDocument/2006/customXml" ds:itemID="{EEE658C9-FD22-418D-B086-3AB0DF652D17}">
  <ds:schemaRefs/>
</ds:datastoreItem>
</file>

<file path=customXml/itemProps16.xml><?xml version="1.0" encoding="utf-8"?>
<ds:datastoreItem xmlns:ds="http://schemas.openxmlformats.org/officeDocument/2006/customXml" ds:itemID="{A09F3EEE-B369-4F28-B758-C3FE07AC5F13}">
  <ds:schemaRefs/>
</ds:datastoreItem>
</file>

<file path=customXml/itemProps17.xml><?xml version="1.0" encoding="utf-8"?>
<ds:datastoreItem xmlns:ds="http://schemas.openxmlformats.org/officeDocument/2006/customXml" ds:itemID="{08E7CAA3-D2E8-455E-A4C2-9F924BC55A76}">
  <ds:schemaRefs/>
</ds:datastoreItem>
</file>

<file path=customXml/itemProps18.xml><?xml version="1.0" encoding="utf-8"?>
<ds:datastoreItem xmlns:ds="http://schemas.openxmlformats.org/officeDocument/2006/customXml" ds:itemID="{ED50DAF0-A954-484F-888B-33FC7CFCBA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Procurement KPI Analysis Datase</vt:lpstr>
      <vt:lpstr>PivotTables</vt:lpstr>
      <vt:lpstr>Home</vt:lpstr>
      <vt:lpstr>Procurements Analysis</vt:lpstr>
      <vt:lpstr>Suppliers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 Tarek</dc:creator>
  <cp:lastModifiedBy>Noura Tarek</cp:lastModifiedBy>
  <dcterms:created xsi:type="dcterms:W3CDTF">2015-06-05T18:17:20Z</dcterms:created>
  <dcterms:modified xsi:type="dcterms:W3CDTF">2026-03-13T22:47:24Z</dcterms:modified>
</cp:coreProperties>
</file>